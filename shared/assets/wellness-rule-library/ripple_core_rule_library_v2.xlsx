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re Rule Library" sheetId="2" state="visible" r:id="rId4"/>
    <sheet name="Top 10 Demo Rules" sheetId="3" state="visible" r:id="rId5"/>
    <sheet name="Categories Overview" sheetId="4" state="visible" r:id="rId6"/>
    <sheet name="Changelog v1 to v2" sheetId="5" state="visible" r:id="rId7"/>
    <sheet name="Evidence 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<sst xmlns="http://schemas.openxmlformats.org/spreadsheetml/2006/main" count="818" uniqueCount="678">
  <si>
    <t xml:space="preserve">Ripple Core Rule Library v2</t>
  </si>
  <si>
    <t xml:space="preserve">Purpose</t>
  </si>
  <si>
    <t xml:space="preserve">Passive Apple Health / Apple Watch / iOS Screen Time wellness-risk pattern library for gentle WhatsApp interventions.</t>
  </si>
  <si>
    <t xml:space="preserve">Important safety note</t>
  </si>
  <si>
    <t xml:space="preserve">These rules are not diagnostic and should not replace medical care. They generate check-ins and recovery nudges only.</t>
  </si>
  <si>
    <t xml:space="preserve">Allowed data v2</t>
  </si>
  <si>
    <t xml:space="preserve">Apple Health / Apple Watch passive signals + iOS Screen Time passive signals (total screen time, app-category time, pickups, late-night phone use). NO mood, symptoms, food, medication, weight, period, self-reported stress.</t>
  </si>
  <si>
    <t xml:space="preserve">Removed in v2</t>
  </si>
  <si>
    <t xml:space="preserve">All SpO2-dependent rules (consumer SpO2 has known accuracy limits and Apple paused sales over this). Entire 'Sleep breathing' category (Apple has FDA-cleared apnea notification — Ripple should not duplicate it).</t>
  </si>
  <si>
    <t xml:space="preserve">Confidence philosophy</t>
  </si>
  <si>
    <t xml:space="preserve">High = composite-level evidence is direct and replicated, signals robust to lifestyle confounders. Medium = component evidence strong, composite is heuristic OR signals have moderate confounders. Low = indirect evidence OR signals heavily affected by daily life factors (commute, weather, schedule).</t>
  </si>
  <si>
    <t xml:space="preserve">Baseline approach</t>
  </si>
  <si>
    <t xml:space="preserve">Personal baselines: 7-day rolling vs 30-day baseline. Population thresholds avoided where possible.</t>
  </si>
  <si>
    <t xml:space="preserve">Trigger philosophy</t>
  </si>
  <si>
    <t xml:space="preserve">Single-day triggers should be gentle. Stronger warnings usually require 2–3 days for vitals or 14–30 days for mobility/breathing trends.</t>
  </si>
  <si>
    <t xml:space="preserve">Recommended rate limit</t>
  </si>
  <si>
    <t xml:space="preserve">Maximum one routine wellness WhatsApp per day, max three per week. Safety/fall check-ins can bypass this if user opted in.</t>
  </si>
  <si>
    <t xml:space="preserve">Suggested backend flow</t>
  </si>
  <si>
    <t xml:space="preserve">HealthKit + Screen Time API → Supabase metrics/baselines → deterministic rule engine → Workato orchestration → Twilio WhatsApp → intervention logs.</t>
  </si>
  <si>
    <t xml:space="preserve">Emergency channel disclaimer</t>
  </si>
  <si>
    <t xml:space="preserve">WhatsApp is NOT an emergency channel. Apple Watch native SOS and Fall Detection remain the primary safety paths. Ripple's fall messages are gentle check-ins only.</t>
  </si>
  <si>
    <t xml:space="preserve">Quick summary v2</t>
  </si>
  <si>
    <t xml:space="preserve">Count</t>
  </si>
  <si>
    <t xml:space="preserve">Total rules</t>
  </si>
  <si>
    <t xml:space="preserve">High confidence rules</t>
  </si>
  <si>
    <t xml:space="preserve">Medium-High confidence rules</t>
  </si>
  <si>
    <t xml:space="preserve">Medium confidence rules</t>
  </si>
  <si>
    <t xml:space="preserve">Low-Medium confidence rules</t>
  </si>
  <si>
    <t xml:space="preserve">Demo top rules</t>
  </si>
  <si>
    <t xml:space="preserve">Rule ID</t>
  </si>
  <si>
    <t xml:space="preserve">Category</t>
  </si>
  <si>
    <t xml:space="preserve">Data combination / equation</t>
  </si>
  <si>
    <t xml:space="preserve">Time window</t>
  </si>
  <si>
    <t xml:space="preserve">Baseline logic or trigger condition</t>
  </si>
  <si>
    <t xml:space="preserve">Possible wellness issue</t>
  </si>
  <si>
    <t xml:space="preserve">Why this combination matters</t>
  </si>
  <si>
    <t xml:space="preserve">Evidence support</t>
  </si>
  <si>
    <t xml:space="preserve">Confidence level</t>
  </si>
  <si>
    <t xml:space="preserve">User case</t>
  </si>
  <si>
    <t xml:space="preserve">Suggested WhatsApp message</t>
  </si>
  <si>
    <t xml:space="preserve">Safety limitation</t>
  </si>
  <si>
    <t xml:space="preserve">R001</t>
  </si>
  <si>
    <t xml:space="preserve">Acute strain &amp; illness-like</t>
  </si>
  <si>
    <t xml:space="preserve">Wrist temperature ↑ + resting HR ↑ + respiratory rate ↑ + HRV ↓</t>
  </si>
  <si>
    <t xml:space="preserve">1–3 nights</t>
  </si>
  <si>
    <t xml:space="preserve">Two or more overnight vitals outside personal baseline range</t>
  </si>
  <si>
    <t xml:space="preserve">Possible acute physiological strain / illness-like signal</t>
  </si>
  <si>
    <t xml:space="preserve">Multi-vital deviation overnight is a stronger anomaly than any single signal; closely matches Stanford-style wearable illness-detection patterns.</t>
  </si>
  <si>
    <t xml:space="preserve">Stanford wearable illness research and Apple Vitals documentation describe overnight HR, HRV, RR and wrist temperature as core anomaly signals [S2, S4]. Direction of effect is well-supported; the specific 2-of-4 threshold is heuristic. Wrist temperature is also affected by ambient temperature, alcohol, blanket use, and the menstrual cycle — which Ripple does not track — so confidence is High at signal level but Medium-High at composite level.</t>
  </si>
  <si>
    <t xml:space="preserve">Medium-High</t>
  </si>
  <si>
    <t xml:space="preserve">User running a fever overnight without realizing it</t>
  </si>
  <si>
    <t xml:space="preserve">A few of your overnight signals are outside your usual range together. Today might be a good day to slow down, hydrate, and rest if you can.</t>
  </si>
  <si>
    <t xml:space="preserve">Not an infection or fever diagnosis. Wrist temperature is affected by environment, alcohol, and the menstrual cycle. Seek care for severe symptoms.</t>
  </si>
  <si>
    <t xml:space="preserve">R002</t>
  </si>
  <si>
    <t xml:space="preserve">Respiratory rate ↑ + resting HR ↑ + sleep duration ↓</t>
  </si>
  <si>
    <t xml:space="preserve">2–3 nights</t>
  </si>
  <si>
    <t xml:space="preserve">Respiratory rate above 30-day baseline; resting HR +5 bpm or more; sleep &lt;7h or 20% below baseline</t>
  </si>
  <si>
    <t xml:space="preserve">Possible respiratory or recovery strain</t>
  </si>
  <si>
    <t xml:space="preserve">Respiratory rate and resting heart rate often rise together when the body is under physiological load.</t>
  </si>
  <si>
    <t xml:space="preserve">Apple Vitals describes overnight respiratory rate and resting heart rate as physiological-stress indicators [S2]. Multi-vital deviation has stronger signal than single-vital change [S4]. Direction is well supported; the 2-night threshold is a heuristic.</t>
  </si>
  <si>
    <t xml:space="preserve">Medium</t>
  </si>
  <si>
    <t xml:space="preserve">Early-stage illness before user feels obviously sick</t>
  </si>
  <si>
    <t xml:space="preserve">Your overnight breathing rate and resting heart rate look a bit higher than usual. An easier day today could help.</t>
  </si>
  <si>
    <t xml:space="preserve">Watch respiratory rate is trend data, not clinical respiratory assessment.</t>
  </si>
  <si>
    <t xml:space="preserve">R003</t>
  </si>
  <si>
    <t xml:space="preserve">Wrist temperature ↑ + sleep fragmentation ↑ + HRV ↓</t>
  </si>
  <si>
    <t xml:space="preserve">Temperature above baseline + sleep more broken than usual + HRV down</t>
  </si>
  <si>
    <t xml:space="preserve">Possible inflammation-like or illness-like strain</t>
  </si>
  <si>
    <t xml:space="preserve">Temperature deviation alongside reduced autonomic recovery may reflect underlying body stress.</t>
  </si>
  <si>
    <t xml:space="preserve">Wearable studies show wrist temperature, HRV, and sleep continuity shift together during early illness [S4]. Wrist temperature is affected by many non-illness factors so this composite alone is not specific.</t>
  </si>
  <si>
    <t xml:space="preserve">Pre-symptomatic body stress</t>
  </si>
  <si>
    <t xml:space="preserve">Your temperature and recovery signals look a bit off together. A lighter day and good hydration may help.</t>
  </si>
  <si>
    <t xml:space="preserve">Many non-illness factors affect wrist temperature: room temperature, alcohol, menstrual cycle, sleep environment.</t>
  </si>
  <si>
    <t xml:space="preserve">R004</t>
  </si>
  <si>
    <t xml:space="preserve">Steps ↓ + resting HR ↑ + wrist temperature ↑</t>
  </si>
  <si>
    <t xml:space="preserve">2–3 days</t>
  </si>
  <si>
    <t xml:space="preserve">Steps drop 30% from baseline + resting HR +5 bpm + wrist temperature above baseline</t>
  </si>
  <si>
    <t xml:space="preserve">Possible quiet illness-like fatigue pattern</t>
  </si>
  <si>
    <t xml:space="preserve">Reduced spontaneous activity alongside elevated overnight vitals can show up before subjective symptoms.</t>
  </si>
  <si>
    <t xml:space="preserve">Wearable illness-detection studies note reduced activity often precedes self-reported symptoms by 1–2 days [S4]. Step count alone is highly affected by daily routine (commute, weather, schedule), which limits this rule's specificity.</t>
  </si>
  <si>
    <t xml:space="preserve">Low-Medium</t>
  </si>
  <si>
    <t xml:space="preserve">User feeling 'off' but not noticeably sick</t>
  </si>
  <si>
    <t xml:space="preserve">Your movement was lower while resting signals were higher. Your body might be asking for an easier day.</t>
  </si>
  <si>
    <t xml:space="preserve">Step drops can simply reflect a busy desk day, travel, or not wearing the watch.</t>
  </si>
  <si>
    <t xml:space="preserve">R005</t>
  </si>
  <si>
    <t xml:space="preserve">Steps ↑ sharply after low-activity week + resting HR still ↑ + HRV still ↓</t>
  </si>
  <si>
    <t xml:space="preserve">3–7 days</t>
  </si>
  <si>
    <t xml:space="preserve">Activity rebounds before vitals return to baseline</t>
  </si>
  <si>
    <t xml:space="preserve">Return-to-activity caution after possible illness pattern</t>
  </si>
  <si>
    <t xml:space="preserve">After an illness-like pattern, ramping activity before vitals normalize may feel harder and slow recovery.</t>
  </si>
  <si>
    <t xml:space="preserve">Post-illness recovery research consistently recommends graded return-to-activity rather than abrupt resumption [S4, S6]. Specific wearable thresholds for 'recovered' are not standardized.</t>
  </si>
  <si>
    <t xml:space="preserve">User returns to running after a week of low activity and elevated vitals</t>
  </si>
  <si>
    <t xml:space="preserve">Your activity is back up — nice. A few of last week's recovery signals haven't fully settled yet, so easing back in this week could help.</t>
  </si>
  <si>
    <t xml:space="preserve">Not medical clearance to resume activity. Personal context matters.</t>
  </si>
  <si>
    <t xml:space="preserve">R006</t>
  </si>
  <si>
    <t xml:space="preserve">Daily recovery</t>
  </si>
  <si>
    <t xml:space="preserve">Sleep duration ↓ + HRV ↓ + resting HR ↑</t>
  </si>
  <si>
    <t xml:space="preserve">Sleep &lt;7h or 20% below baseline; HRV 15–20% below baseline; resting HR +5–10 bpm</t>
  </si>
  <si>
    <t xml:space="preserve">Possible recovery strain</t>
  </si>
  <si>
    <t xml:space="preserve">Short sleep alongside lower HRV and higher resting HR is a classic 'body not recovering' triple, supported across consumer-wearable research.</t>
  </si>
  <si>
    <t xml:space="preserve">Sleep–autonomic coupling is well-established: short sleep is associated with elevated next-day RHR and reduced HRV in both lab and consumer-wearable studies [S1, S3]. Apple Vitals documentation lists overnight RHR and HRV as core recovery indicators [S2]. Direction of effect: High confidence. Specific 2–3 day threshold: Medium confidence — it is a personal-baseline heuristic, not a validated cutoff.</t>
  </si>
  <si>
    <t xml:space="preserve">High</t>
  </si>
  <si>
    <t xml:space="preserve">Student sleeps 5h for exams and resting HR rises</t>
  </si>
  <si>
    <t xml:space="preserve">Your sleep and recovery signals look strained today. A lighter day and earlier bedtime tonight could help.</t>
  </si>
  <si>
    <t xml:space="preserve">Not a stress diagnosis. Illness, caffeine, alcohol, and watch fit also affect HRV and resting HR.</t>
  </si>
  <si>
    <t xml:space="preserve">R007</t>
  </si>
  <si>
    <t xml:space="preserve">Sleep fragmentation ↑ + HRV ↓ + resting HR ↑</t>
  </si>
  <si>
    <t xml:space="preserve">3 nights</t>
  </si>
  <si>
    <t xml:space="preserve">Awakenings/restless periods above baseline + HRV down + resting HR up</t>
  </si>
  <si>
    <t xml:space="preserve">Possible poor sleep quality / recovery concern</t>
  </si>
  <si>
    <t xml:space="preserve">Fragmented sleep can reduce restorative recovery even when total hours look acceptable.</t>
  </si>
  <si>
    <t xml:space="preserve">Sleep continuity (not just duration) predicts next-day autonomic recovery [S2, S3]. Apple Watch sleep-stage and wake-period estimates have moderate but imperfect agreement with PSG, so the fragmentation signal itself carries estimation noise [S14].</t>
  </si>
  <si>
    <t xml:space="preserve">User slept 7h but woke many times</t>
  </si>
  <si>
    <t xml:space="preserve">You slept the hours, but your recovery signals suggest the sleep wasn't very restorative. Keeping tonight simple may help.</t>
  </si>
  <si>
    <t xml:space="preserve">Wearables estimate wake periods rather than measure them directly.</t>
  </si>
  <si>
    <t xml:space="preserve">R008</t>
  </si>
  <si>
    <t xml:space="preserve">Resting HR ↑ + cardio recovery ↓ + HRV ↓</t>
  </si>
  <si>
    <t xml:space="preserve">Resting HR above baseline + heart-rate recovery slower than baseline + HRV lower</t>
  </si>
  <si>
    <t xml:space="preserve">Autonomic recovery concern</t>
  </si>
  <si>
    <t xml:space="preserve">These three are the most directly autonomic-nervous-system-linked of the available signals.</t>
  </si>
  <si>
    <t xml:space="preserve">HRV and post-exercise heart-rate recovery are both well-established autonomic indicators [S3, S7]. Combination at consumer-wearable resolution is a heuristic rather than a validated index.</t>
  </si>
  <si>
    <t xml:space="preserve">User's recovery markers all trending lower for several days</t>
  </si>
  <si>
    <t xml:space="preserve">Your recovery markers are all trending a little lower. A rest-focused day may help your body catch up.</t>
  </si>
  <si>
    <t xml:space="preserve">Not a heart disease screen. Heat, hydration, medication, and sensor fit affect these signals.</t>
  </si>
  <si>
    <t xml:space="preserve">R009</t>
  </si>
  <si>
    <t xml:space="preserve">Active energy ↑ + exercise minutes ↑ + HRV ↓ + sleep ↓</t>
  </si>
  <si>
    <t xml:space="preserve">Activity load &gt;30% above baseline + HRV down + sleep down</t>
  </si>
  <si>
    <t xml:space="preserve">Under-recovery / overreaching warning</t>
  </si>
  <si>
    <t xml:space="preserve">More training load alongside worse recovery markers is the classic overreaching pattern.</t>
  </si>
  <si>
    <t xml:space="preserve">Sports-science literature on overtraining/overreaching consistently describes this pattern [S3, S7]. Specific thresholds vary by athlete; the 30% load increase is a heuristic.</t>
  </si>
  <si>
    <t xml:space="preserve">User pushing training harder without rest days</t>
  </si>
  <si>
    <t xml:space="preserve">You've been training harder while recovery signals dropped. A rest or low-intensity day may help prevent burnout.</t>
  </si>
  <si>
    <t xml:space="preserve">Not clinical overtraining syndrome diagnosis. Personalize for athletes.</t>
  </si>
  <si>
    <t xml:space="preserve">R010</t>
  </si>
  <si>
    <t xml:space="preserve">Sleep duration ↓ + active energy ↑ + resting HR ↑</t>
  </si>
  <si>
    <t xml:space="preserve">1–2 days</t>
  </si>
  <si>
    <t xml:space="preserve">Sleep &lt;6h then high-activity day and resting HR up next morning</t>
  </si>
  <si>
    <t xml:space="preserve">Short-term recovery warning</t>
  </si>
  <si>
    <t xml:space="preserve">High training load after poor sleep increases recovery demand and may raise injury or fatigue risk.</t>
  </si>
  <si>
    <t xml:space="preserve">Short sleep is associated with reduced next-day exercise tolerance and elevated cardiovascular response [S1, S3, S6]. Single-day rules should be gentle.</t>
  </si>
  <si>
    <t xml:space="preserve">User does a hard workout the day after an all-nighter</t>
  </si>
  <si>
    <t xml:space="preserve">You had a heavy day after short sleep. Extra recovery tonight could help tomorrow feel better.</t>
  </si>
  <si>
    <t xml:space="preserve">One-day rule — should be a gentle nudge, not a risk label.</t>
  </si>
  <si>
    <t xml:space="preserve">R011</t>
  </si>
  <si>
    <t xml:space="preserve">Resting HR ↑ + HRV ↓ + no increase in exercise minutes</t>
  </si>
  <si>
    <t xml:space="preserve">3 days</t>
  </si>
  <si>
    <t xml:space="preserve">Resting HR +5–10 bpm + HRV -15% + exercise normal or low</t>
  </si>
  <si>
    <t xml:space="preserve">Possible non-exercise stress or early illness</t>
  </si>
  <si>
    <t xml:space="preserve">When HR rises without higher training load, lifestyle stress or early illness may be involved.</t>
  </si>
  <si>
    <t xml:space="preserve">HRV/RHR shifts without training stimulus point toward non-exercise factors [S3, S4]. Cause-specific attribution is not possible from passive signals.</t>
  </si>
  <si>
    <t xml:space="preserve">User's resting signals rise during a stressful work week</t>
  </si>
  <si>
    <t xml:space="preserve">Your resting signals are higher than usual even though training has been steady. A lighter day might feel good.</t>
  </si>
  <si>
    <t xml:space="preserve">Cannot identify cause. Avoid saying 'you are sick' or 'you are stressed'.</t>
  </si>
  <si>
    <t xml:space="preserve">R012</t>
  </si>
  <si>
    <t xml:space="preserve">Training &amp; exercise readiness</t>
  </si>
  <si>
    <t xml:space="preserve">Sleep duration ↓ + workout HR ↑ + workout pace ↓</t>
  </si>
  <si>
    <t xml:space="preserve">Next workout after poor sleep</t>
  </si>
  <si>
    <t xml:space="preserve">Previous sleep &lt;6h + same route or workout type, slower pace, higher HR</t>
  </si>
  <si>
    <t xml:space="preserve">Fatigue / overexertion risk</t>
  </si>
  <si>
    <t xml:space="preserve">Higher heart rate at slower pace for the same effort suggests the body is working harder than usual.</t>
  </si>
  <si>
    <t xml:space="preserve">Sleep restriction reduces submaximal exercise capacity and elevates heart rate response [S1, S3, S7]. Pace comparisons require similar route/conditions to be meaningful.</t>
  </si>
  <si>
    <t xml:space="preserve">User runs after an all-nighter</t>
  </si>
  <si>
    <t xml:space="preserve">Your body seems to be working harder than usual today. A lower-intensity workout may feel better.</t>
  </si>
  <si>
    <t xml:space="preserve">Pace also depends on heat, hills, route, and shoe choice. Move ER warnings to user education, not WhatsApp.</t>
  </si>
  <si>
    <t xml:space="preserve">R013</t>
  </si>
  <si>
    <t xml:space="preserve">Workout HR ↑ + pace ↓ + cardio recovery ↓</t>
  </si>
  <si>
    <t xml:space="preserve">2–4 workouts</t>
  </si>
  <si>
    <t xml:space="preserve">Same activity type + HR higher + pace slower + post-workout recovery worse</t>
  </si>
  <si>
    <t xml:space="preserve">Under-recovery / fatigue</t>
  </si>
  <si>
    <t xml:space="preserve">More cardiovascular effort for the same or worse output across multiple workouts suggests strain.</t>
  </si>
  <si>
    <t xml:space="preserve">Repeated submaximal HR elevation with reduced performance is a recognized fatigue pattern [S7, S8]. Most reliable when same workout type/route is repeated.</t>
  </si>
  <si>
    <t xml:space="preserve">Same running route feels harder for several sessions</t>
  </si>
  <si>
    <t xml:space="preserve">Your recent workouts looked harder than usual for the same output. An easier session today may be smarter.</t>
  </si>
  <si>
    <t xml:space="preserve">Heat, hills, route changes, and sensor error affect pace and HR.</t>
  </si>
  <si>
    <t xml:space="preserve">R014</t>
  </si>
  <si>
    <t xml:space="preserve">Workout intensity ↑ + cardio recovery ↓ + resting HR ↑</t>
  </si>
  <si>
    <t xml:space="preserve">High-intensity workouts + heart-rate recovery slower than baseline + resting HR up</t>
  </si>
  <si>
    <t xml:space="preserve">Autonomic recovery concern after hard sessions</t>
  </si>
  <si>
    <t xml:space="preserve">Slower post-exercise heart-rate recovery alongside elevated resting HR suggests incomplete autonomic recovery.</t>
  </si>
  <si>
    <t xml:space="preserve">Heart-rate recovery is a well-validated autonomic recovery marker [S7]. Resting HR rise after hard training is consistent with the same pattern [S2, S3].</t>
  </si>
  <si>
    <t xml:space="preserve">User stacking high-intensity sessions</t>
  </si>
  <si>
    <t xml:space="preserve">Your workout recovery looks slower than usual. Spacing intense sessions with easier days might help.</t>
  </si>
  <si>
    <t xml:space="preserve">HR recovery is affected by heat, hydration, medication, and sensor accuracy.</t>
  </si>
  <si>
    <t xml:space="preserve">R015</t>
  </si>
  <si>
    <t xml:space="preserve">HRV ↓ + cardio recovery ↓ + workout HR ↑</t>
  </si>
  <si>
    <t xml:space="preserve">2–3 workouts</t>
  </si>
  <si>
    <t xml:space="preserve">Low HRV before workout + poor HR recovery after + high workout HR</t>
  </si>
  <si>
    <t xml:space="preserve">Low readiness / fatigue</t>
  </si>
  <si>
    <t xml:space="preserve">Pre- and post-workout autonomic signals both pointing to strain is a stronger combined signal.</t>
  </si>
  <si>
    <t xml:space="preserve">HRV and HR recovery are both validated autonomic markers [S3, S7]. The combined index is heuristic.</t>
  </si>
  <si>
    <t xml:space="preserve">User's 'readiness' looks low across multiple sessions</t>
  </si>
  <si>
    <t xml:space="preserve">Today may not be the best day to push intensity. Your recovery signals suggest going easier.</t>
  </si>
  <si>
    <t xml:space="preserve">Athletes may intentionally train under fatigue. Personalize.</t>
  </si>
  <si>
    <t xml:space="preserve">R016</t>
  </si>
  <si>
    <t xml:space="preserve">Walking/running distance ↑ sharply + workout intensity ↑ + HRV ↓</t>
  </si>
  <si>
    <t xml:space="preserve">7 days</t>
  </si>
  <si>
    <t xml:space="preserve">Distance or intensity &gt;30–40% above baseline + HRV down</t>
  </si>
  <si>
    <t xml:space="preserve">Possible overload risk signal</t>
  </si>
  <si>
    <t xml:space="preserve">Sudden load increase with reduced recovery raises the possibility of overuse strain.</t>
  </si>
  <si>
    <t xml:space="preserve">Acute:chronic workload ratio research links sudden load spikes to elevated injury risk [S3, S7]. Cannot predict injury at individual level.</t>
  </si>
  <si>
    <t xml:space="preserve">User suddenly increases weekly mileage</t>
  </si>
  <si>
    <t xml:space="preserve">Your training jumped up while recovery dropped. A day or two at lower volume may help.</t>
  </si>
  <si>
    <t xml:space="preserve">Cannot predict injury. Soreness and joint pain are not passive signals.</t>
  </si>
  <si>
    <t xml:space="preserve">R017</t>
  </si>
  <si>
    <t xml:space="preserve">Resting HR ↑ + HRV ↓ + sleep fragmentation ↑ + exercise minutes ↑</t>
  </si>
  <si>
    <t xml:space="preserve">Activity load high + recovery metrics low</t>
  </si>
  <si>
    <t xml:space="preserve">Possible overreaching</t>
  </si>
  <si>
    <t xml:space="preserve">Classic overreaching pattern: high training load, poor sleep, low HRV, elevated resting HR.</t>
  </si>
  <si>
    <t xml:space="preserve">Best-validated training-stress pattern in sports science literature [S3, S7]. Threshold for 'overreaching' vs 'productive overload' is individual.</t>
  </si>
  <si>
    <t xml:space="preserve">Athlete in heavy training block showing classic overreaching signs</t>
  </si>
  <si>
    <t xml:space="preserve">Your training load is high and recovery is low. A recovery day may help tomorrow's session feel better.</t>
  </si>
  <si>
    <t xml:space="preserve">Not clinical overtraining syndrome diagnosis.</t>
  </si>
  <si>
    <t xml:space="preserve">R018</t>
  </si>
  <si>
    <t xml:space="preserve">Exercise minutes ↑ + workout pace not improving + cardio recovery ↓</t>
  </si>
  <si>
    <t xml:space="preserve">3–4 weeks</t>
  </si>
  <si>
    <t xml:space="preserve">More exercise without performance or recovery improvement</t>
  </si>
  <si>
    <t xml:space="preserve">Possible insufficient recovery / training stagnation</t>
  </si>
  <si>
    <t xml:space="preserve">More work without performance gains may indicate adaptation is not happening.</t>
  </si>
  <si>
    <t xml:space="preserve">Training plateau and non-functional overreaching are recognized concepts [S7, S8]. Performance comparisons depend on consistent conditions.</t>
  </si>
  <si>
    <t xml:space="preserve">User training hard but times not improving</t>
  </si>
  <si>
    <t xml:space="preserve">You're doing more work, but recovery and pace haven't improved. A lighter week might unlock progress.</t>
  </si>
  <si>
    <t xml:space="preserve">Performance depends on route, weather, terrain, and workout type.</t>
  </si>
  <si>
    <t xml:space="preserve">R019</t>
  </si>
  <si>
    <t xml:space="preserve">Long-term fitness trend</t>
  </si>
  <si>
    <t xml:space="preserve">Cardio fitness ↓ + resting HR ↑ + exercise minutes ↓</t>
  </si>
  <si>
    <t xml:space="preserve">30–60 days</t>
  </si>
  <si>
    <t xml:space="preserve">Cardio fitness falling + resting HR rising + exercise lower</t>
  </si>
  <si>
    <t xml:space="preserve">Possible declining aerobic fitness trend</t>
  </si>
  <si>
    <t xml:space="preserve">Long-term fitness decline alongside higher resting HR and less exercise is a strong lifestyle signal.</t>
  </si>
  <si>
    <t xml:space="preserve">Cardiorespiratory fitness is a well-established long-term health marker [S8]. Apple's VO2max estimate requires consistent outdoor walks/runs to stabilize and is noisy on irregular wearers [S2].</t>
  </si>
  <si>
    <t xml:space="preserve">User's fitness has slowly drifted down over months</t>
  </si>
  <si>
    <t xml:space="preserve">Your cardio fitness trend looks lower than it was a couple of months ago. Restarting gently with 20–30 min walks could rebuild it.</t>
  </si>
  <si>
    <t xml:space="preserve">Cardio fitness estimate needs enough valid outdoor walk/run data.</t>
  </si>
  <si>
    <t xml:space="preserve">R020</t>
  </si>
  <si>
    <t xml:space="preserve">Cardio recovery ↓ + cardio fitness ↓ + walking HR average ↑</t>
  </si>
  <si>
    <t xml:space="preserve">30 days</t>
  </si>
  <si>
    <t xml:space="preserve">Recovery and fitness down + walking HR up</t>
  </si>
  <si>
    <t xml:space="preserve">Possible aerobic recovery decline</t>
  </si>
  <si>
    <t xml:space="preserve">Combines fitness capacity, submaximal HR, and post-exercise recovery — three angles on the same trend.</t>
  </si>
  <si>
    <t xml:space="preserve">Fitness, walking HR, and HR recovery move together when aerobic conditioning shifts [S7, S8]. All three are estimates with measurement noise.</t>
  </si>
  <si>
    <t xml:space="preserve">Long-term aerobic decline pattern</t>
  </si>
  <si>
    <t xml:space="preserve">Your aerobic recovery trend looks lower over the past month. Easier aerobic sessions and more rest might help rebuild it.</t>
  </si>
  <si>
    <t xml:space="preserve">Not a cardiovascular diagnosis. Estimates depend on wear consistency.</t>
  </si>
  <si>
    <t xml:space="preserve">R021</t>
  </si>
  <si>
    <t xml:space="preserve">Walking/running distance ↓ + walking speed ↓ + cardio fitness ↓</t>
  </si>
  <si>
    <t xml:space="preserve">All decline versus 30–60-day baseline</t>
  </si>
  <si>
    <t xml:space="preserve">Possible functional fitness decline</t>
  </si>
  <si>
    <t xml:space="preserve">Movement quantity, walking quality, and aerobic capacity all pointing the same way is a stronger combined trend.</t>
  </si>
  <si>
    <t xml:space="preserve">Mobility and cardio fitness covary in healthy aging research [S8, S9]. Walking speed is also affected by terrain and footwear [S10].</t>
  </si>
  <si>
    <t xml:space="preserve">Older user with gradual functional decline</t>
  </si>
  <si>
    <t xml:space="preserve">Your walking and fitness trends both dipped over the last month or two. Small daily walks can help rebuild gradually.</t>
  </si>
  <si>
    <t xml:space="preserve">Not for temporary injury periods. Walking speed depends on terrain, footwear, and phone placement.</t>
  </si>
  <si>
    <t xml:space="preserve">R022</t>
  </si>
  <si>
    <t xml:space="preserve">Sedentary &amp; activity habits</t>
  </si>
  <si>
    <t xml:space="preserve">Steps ↓ + active energy ↓ + stand hours ↓</t>
  </si>
  <si>
    <t xml:space="preserve">All 20–30% below 30-day baseline</t>
  </si>
  <si>
    <t xml:space="preserve">Sustained low-movement pattern this week</t>
  </si>
  <si>
    <t xml:space="preserve">Three converging activity metrics confirm reduced movement better than steps alone.</t>
  </si>
  <si>
    <t xml:space="preserve">WHO physical activity guidance emphasizes total daily movement, not steps alone [S6]. Step-count meta-analysis shows benefit gradient across the activity range [S12]. Step count alone is sensitive to commute mode, weather, and schedule, but three converging signals are more robust.</t>
  </si>
  <si>
    <t xml:space="preserve">User had a desk-bound, indoor week</t>
  </si>
  <si>
    <t xml:space="preserve">Your movement has been quieter than usual this week. A 10-minute walk or stand break today is a small reset.</t>
  </si>
  <si>
    <t xml:space="preserve">Not a disease risk score. Adapt for users with disability or injury.</t>
  </si>
  <si>
    <t xml:space="preserve">R023</t>
  </si>
  <si>
    <t xml:space="preserve">Steps ↓ + exercise minutes ↓ + active energy ↓</t>
  </si>
  <si>
    <t xml:space="preserve">14 days</t>
  </si>
  <si>
    <t xml:space="preserve">Below baseline and below weekly activity target</t>
  </si>
  <si>
    <t xml:space="preserve">Sustained low-movement pattern (2 weeks)</t>
  </si>
  <si>
    <t xml:space="preserve">Two-week sustained drop is more meaningful than one bad week.</t>
  </si>
  <si>
    <t xml:space="preserve">WHO recommends ≥150 min moderate activity weekly; sustained shortfall is associated with adverse long-term outcomes [S6, S12]. Two-week framing avoids reacting to single bad weeks.</t>
  </si>
  <si>
    <t xml:space="preserve">User has been mostly indoors for two weeks</t>
  </si>
  <si>
    <t xml:space="preserve">Your daily movement has been quieter than usual for a couple of weeks. Even a 5-minute walk today counts as starting again.</t>
  </si>
  <si>
    <t xml:space="preserve">Avoid shaming language. Adapt for disability, injury, or caregiving demands.</t>
  </si>
  <si>
    <t xml:space="preserve">R024</t>
  </si>
  <si>
    <t xml:space="preserve">Exercise minutes ↓ + cardio fitness ↓ + walking HR average ↑</t>
  </si>
  <si>
    <t xml:space="preserve">Exercise below WHO guideline + cardio fitness down + walking HR up</t>
  </si>
  <si>
    <t xml:space="preserve">Possible deconditioning trend</t>
  </si>
  <si>
    <t xml:space="preserve">Lower activity, lower fitness, and higher HR for everyday walking together suggest reduced aerobic conditioning.</t>
  </si>
  <si>
    <t xml:space="preserve">Three independent angles on aerobic capacity covarying is a stronger trend than any single signal [S6, S8]. Walking HR average needs many days to stabilize.</t>
  </si>
  <si>
    <t xml:space="preserve">Long-term reduced exercise pattern</t>
  </si>
  <si>
    <t xml:space="preserve">Your fitness trend may be slipping a little. A few easy walks this week could help rebuild momentum.</t>
  </si>
  <si>
    <t xml:space="preserve">Cardio fitness estimate needs enough outdoor walk/run data.</t>
  </si>
  <si>
    <t xml:space="preserve">R025</t>
  </si>
  <si>
    <t xml:space="preserve">Walking distance ↓ + stand hours ↓ + active energy ↓</t>
  </si>
  <si>
    <t xml:space="preserve">All down from 30-day baseline</t>
  </si>
  <si>
    <t xml:space="preserve">Low daily functional movement</t>
  </si>
  <si>
    <t xml:space="preserve">Reduced everyday movement (not just exercise) is the broader wellness signal.</t>
  </si>
  <si>
    <t xml:space="preserve">Daily non-exercise activity contributes meaningfully to total energy expenditure and mortality outcomes [S6, S12]. Single signals are confounded by daily routine; the triple is more robust.</t>
  </si>
  <si>
    <t xml:space="preserve">User mostly at desk all week</t>
  </si>
  <si>
    <t xml:space="preserve">Your daily movement is lower this week. A short easy walk today, if it fits your schedule, could be a nice reset.</t>
  </si>
  <si>
    <t xml:space="preserve">Movement also depends on weather, work demands, and caregiving.</t>
  </si>
  <si>
    <t xml:space="preserve">R026</t>
  </si>
  <si>
    <t xml:space="preserve">Mobility, gait &amp; fall risk</t>
  </si>
  <si>
    <t xml:space="preserve">Walking speed ↓ + step length ↓ + double support time ↑</t>
  </si>
  <si>
    <t xml:space="preserve">14–30 days</t>
  </si>
  <si>
    <t xml:space="preserve">Speed and step length down; double support time up vs baseline</t>
  </si>
  <si>
    <t xml:space="preserve">Possible mobility decline / fall risk signal</t>
  </si>
  <si>
    <t xml:space="preserve">Slower, shorter, more double-support walking is associated with reduced gait stability.</t>
  </si>
  <si>
    <t xml:space="preserve">Apple's published Mobility Metrics white paper directly supports treating these three signals together as gait stability indicators [S10]. Strongest evidence base in the library for older adults [S9].</t>
  </si>
  <si>
    <t xml:space="preserve">Older user's gait gradually shifting</t>
  </si>
  <si>
    <t xml:space="preserve">Your walking pattern looks a bit less steady than usual lately. Easy walking and care on stairs may help.</t>
  </si>
  <si>
    <t xml:space="preserve">Strongest signal for older adults; less meaningful when phone is carried in a bag or backpack.</t>
  </si>
  <si>
    <t xml:space="preserve">R027</t>
  </si>
  <si>
    <t xml:space="preserve">Walking asymmetry ↑ + double support time ↑ + walking speed ↓</t>
  </si>
  <si>
    <t xml:space="preserve">Asymmetry and double support above baseline; speed below</t>
  </si>
  <si>
    <t xml:space="preserve">Possible gait imbalance / lower-limb strain</t>
  </si>
  <si>
    <t xml:space="preserve">Asymmetry plus more double support may reflect compensation, soreness, or balance change.</t>
  </si>
  <si>
    <t xml:space="preserve">Apple Mobility Metrics paper supports asymmetry and double support as compensation indicators [S10]. Cannot localize injury or cause.</t>
  </si>
  <si>
    <t xml:space="preserve">User compensating after minor injury or soreness</t>
  </si>
  <si>
    <t xml:space="preserve">Your walking pattern looks more uneven than usual. Reducing impact today might be smart.</t>
  </si>
  <si>
    <t xml:space="preserve">Cannot identify injury location or cause.</t>
  </si>
  <si>
    <t xml:space="preserve">R028</t>
  </si>
  <si>
    <t xml:space="preserve">Walking steadiness ↓ + walking speed ↓ + stand hours ↓</t>
  </si>
  <si>
    <t xml:space="preserve">Walking steadiness low or trending lower; speed and stand hours down</t>
  </si>
  <si>
    <t xml:space="preserve">Possible balance / mobility concern</t>
  </si>
  <si>
    <t xml:space="preserve">Combines Apple's steadiness algorithm with functional movement reduction.</t>
  </si>
  <si>
    <t xml:space="preserve">Apple Walking Steadiness has supporting validation as a fall-risk-related signal [S9]. Reduced speed and stand hours add functional context.</t>
  </si>
  <si>
    <t xml:space="preserve">Older user with declining balance</t>
  </si>
  <si>
    <t xml:space="preserve">Your walking steadiness has been a bit lower than usual. Move carefully on stairs and consider some balance-friendly exercises.</t>
  </si>
  <si>
    <t xml:space="preserve">Not a fall prediction for any specific moment.</t>
  </si>
  <si>
    <t xml:space="preserve">R029</t>
  </si>
  <si>
    <t xml:space="preserve">Workout distance ↑ + walking asymmetry ↑ + step length ↓</t>
  </si>
  <si>
    <t xml:space="preserve">1–3 days after workout</t>
  </si>
  <si>
    <t xml:space="preserve">Asymmetry rises and step length shortens after long or high-intensity workout</t>
  </si>
  <si>
    <t xml:space="preserve">Possible post-workout overuse / soreness compensation</t>
  </si>
  <si>
    <t xml:space="preserve">Gait changes after heavy training may show compensation before the user notices pain.</t>
  </si>
  <si>
    <t xml:space="preserve">Gait compensation post-load is a recognized concept; passive detection at consumer-wearable resolution is plausible but not extensively validated [S10, S7].</t>
  </si>
  <si>
    <t xml:space="preserve">User compensating after long run</t>
  </si>
  <si>
    <t xml:space="preserve">Your walking looks a bit uneven after recent training. A recovery walk or rest day may feel better.</t>
  </si>
  <si>
    <t xml:space="preserve">Cannot diagnose injury. Phone placement also affects gait readings.</t>
  </si>
  <si>
    <t xml:space="preserve">R030</t>
  </si>
  <si>
    <t xml:space="preserve">Double support time ↑ + walking speed ↓ + active energy ↓</t>
  </si>
  <si>
    <t xml:space="preserve">7–14 days</t>
  </si>
  <si>
    <t xml:space="preserve">More double support + slower walking + less energy</t>
  </si>
  <si>
    <t xml:space="preserve">Possible cautious walking pattern / reduced confidence</t>
  </si>
  <si>
    <t xml:space="preserve">People often spend longer in double support when stability or confidence is reduced.</t>
  </si>
  <si>
    <t xml:space="preserve">Gait research links double-support time to balance confidence and fall risk [S10]. Walking speed depends on terrain and footwear.</t>
  </si>
  <si>
    <t xml:space="preserve">User walking more cautiously than usual</t>
  </si>
  <si>
    <t xml:space="preserve">Your walking looks a bit more cautious and activity is lower. Take it slow and prioritize safe routes today.</t>
  </si>
  <si>
    <t xml:space="preserve">Age, footwear, terrain, and phone placement affect gait metrics.</t>
  </si>
  <si>
    <t xml:space="preserve">R031</t>
  </si>
  <si>
    <t xml:space="preserve">Walking steadiness ↓ + HRV ↓ + sleep fragmentation ↑</t>
  </si>
  <si>
    <t xml:space="preserve">Steadiness lower than baseline + recovery markers down</t>
  </si>
  <si>
    <t xml:space="preserve">Recovery may be affecting movement quality</t>
  </si>
  <si>
    <t xml:space="preserve">Poor recovery can affect coordination, attention, and movement confidence.</t>
  </si>
  <si>
    <t xml:space="preserve">Indirect — sleep deprivation affects motor control and balance [S3], but a direct passive-wearable validation of this triple does not exist [S9, S14].</t>
  </si>
  <si>
    <t xml:space="preserve">User unsteady after several poor-sleep nights</t>
  </si>
  <si>
    <t xml:space="preserve">Your recovery and walking steadiness both dipped. Be a bit extra careful on stairs and busy roads today.</t>
  </si>
  <si>
    <t xml:space="preserve">Indirect evidence — gentle nudge only.</t>
  </si>
  <si>
    <t xml:space="preserve">R032</t>
  </si>
  <si>
    <t xml:space="preserve">Possible functional decline</t>
  </si>
  <si>
    <t xml:space="preserve">Movement quantity, walking quality, and aerobic capacity all pointing the same way.</t>
  </si>
  <si>
    <t xml:space="preserve">Functional decline in older adults presents as covariation across these signals [S8, S9, S10]. Estimates have noise.</t>
  </si>
  <si>
    <t xml:space="preserve">Gradual functional decline pattern</t>
  </si>
  <si>
    <t xml:space="preserve">Your walking and fitness trends are lower than usual. Small daily walks can help rebuild gradually.</t>
  </si>
  <si>
    <t xml:space="preserve">Not for temporary injury unless context is excluded.</t>
  </si>
  <si>
    <t xml:space="preserve">R033</t>
  </si>
  <si>
    <t xml:space="preserve">Fall events &amp; emergency</t>
  </si>
  <si>
    <t xml:space="preserve">Fall detection event + walking steadiness low + steps ↓</t>
  </si>
  <si>
    <t xml:space="preserve">Immediate + 7 days</t>
  </si>
  <si>
    <t xml:space="preserve">Fall event or repeated low steadiness, followed by lower steps</t>
  </si>
  <si>
    <t xml:space="preserve">Fall risk / post-fall safety check-in</t>
  </si>
  <si>
    <t xml:space="preserve">A fall event alongside low steadiness and reduced post-event movement deserves a gentle safety follow-up.</t>
  </si>
  <si>
    <t xml:space="preserve">Apple Watch Fall Detection is documented with known limitations [S11]. Walking steadiness has independent validation [S9, S10].</t>
  </si>
  <si>
    <t xml:space="preserve">Older user after a possible fall</t>
  </si>
  <si>
    <t xml:space="preserve">Are you okay? I saw a fall alert. If you need help, please call emergency services or someone nearby right now. Reply OK if you're fine.</t>
  </si>
  <si>
    <t xml:space="preserve">WhatsApp is NOT an emergency channel. Apple Watch native SOS remains primary. Fall Detection can miss falls or false-trigger. Must be opt-in.</t>
  </si>
  <si>
    <t xml:space="preserve">R034</t>
  </si>
  <si>
    <t xml:space="preserve">2+ fall events + walking steadiness low + asymmetry ↑</t>
  </si>
  <si>
    <t xml:space="preserve">30–90 days</t>
  </si>
  <si>
    <t xml:space="preserve">Repeated fall alerts or low steadiness trend + uneven gait</t>
  </si>
  <si>
    <t xml:space="preserve">Elevated safety concern (recurring falls)</t>
  </si>
  <si>
    <t xml:space="preserve">Repeated falls plus unstable gait deserve escalation and a trusted-contact suggestion.</t>
  </si>
  <si>
    <t xml:space="preserve">Recurrent falls are a well-recognized clinical risk indicator; passive detection of this pattern is plausible [S9, S10, S11].</t>
  </si>
  <si>
    <t xml:space="preserve">Older user with multiple falls in recent months</t>
  </si>
  <si>
    <t xml:space="preserve">Over the last few weeks I've noticed a few fall-related signals. It might be worth letting someone you trust know, and being a bit extra careful on stairs and uneven surfaces.</t>
  </si>
  <si>
    <t xml:space="preserve">For demo, include emergency disclaimer and opt-in trusted-contact flow.</t>
  </si>
  <si>
    <t xml:space="preserve">R035</t>
  </si>
  <si>
    <t xml:space="preserve">Fall detection event + no movement/steps afterward + resting HR unusual</t>
  </si>
  <si>
    <t xml:space="preserve">Same day</t>
  </si>
  <si>
    <t xml:space="preserve">Fall alert + unusually low movement after + resting HR outside personal range</t>
  </si>
  <si>
    <t xml:space="preserve">Safety check-in after possible fall with prolonged inactivity</t>
  </si>
  <si>
    <t xml:space="preserve">A fall followed by stillness may need an immediate human check-in.</t>
  </si>
  <si>
    <t xml:space="preserve">Fall Detection limitations and the need for redundant safety paths are documented [S11].</t>
  </si>
  <si>
    <t xml:space="preserve">Older user fallen and not moving</t>
  </si>
  <si>
    <t xml:space="preserve">Are you okay? I saw a fall alert and not much movement since. If you need help, please call emergency services right now. Otherwise reply OK.</t>
  </si>
  <si>
    <t xml:space="preserve">Must be opt-in. WhatsApp is NOT an emergency channel — Apple Watch native SOS is primary. Never rely solely on AI for emergencies.</t>
  </si>
  <si>
    <t xml:space="preserve">R036</t>
  </si>
  <si>
    <t xml:space="preserve">Hearing &amp; noise exposure</t>
  </si>
  <si>
    <t xml:space="preserve">Headphone audio level &gt;80 dB + long listening duration</t>
  </si>
  <si>
    <t xml:space="preserve">&gt;80 dB sustained for many hours/week</t>
  </si>
  <si>
    <t xml:space="preserve">Hearing risk (volume + duration)</t>
  </si>
  <si>
    <t xml:space="preserve">Noise-induced hearing risk depends on level and duration combined.</t>
  </si>
  <si>
    <t xml:space="preserve">WHO safe-listening guidance and CDC/NIOSH noise standards directly support level + duration as the dose calculation [S15, S16]. Strongest evidence base in the library.</t>
  </si>
  <si>
    <t xml:space="preserve">User listening at high volume daily</t>
  </si>
  <si>
    <t xml:space="preserve">Your headphone level has been on the high side this week. Lowering volume by 10–15% can make a real difference for your hearing.</t>
  </si>
  <si>
    <t xml:space="preserve">Do not claim hearing damage occurred. Apple estimates exposure rather than measuring it at the ear.</t>
  </si>
  <si>
    <t xml:space="preserve">R037</t>
  </si>
  <si>
    <t xml:space="preserve">Headphone audio level ≥90 dB + frequent exposure + environmental sound ≥85 dB</t>
  </si>
  <si>
    <t xml:space="preserve">Same day / weekly cumulative</t>
  </si>
  <si>
    <t xml:space="preserve">≥90 dB headphone exposure repeated and/or high cumulative weekly dose</t>
  </si>
  <si>
    <t xml:space="preserve">Possible unsafe listening / hearing warning</t>
  </si>
  <si>
    <t xml:space="preserve">High headphone volume in loud surroundings increases total noise dose.</t>
  </si>
  <si>
    <t xml:space="preserve">WHO and CDC/NIOSH noise dose models combine source levels and duration; loud environments compound risk [S15, S16].</t>
  </si>
  <si>
    <t xml:space="preserve">User on commute with loud music in noisy transit</t>
  </si>
  <si>
    <t xml:space="preserve">Your listening level has been high, especially in noisy places. Lowering volume or using noise cancellation could help protect your hearing.</t>
  </si>
  <si>
    <t xml:space="preserve">Individual susceptibility varies; Apple estimates exposure.</t>
  </si>
  <si>
    <t xml:space="preserve">R038</t>
  </si>
  <si>
    <t xml:space="preserve">Environmental sound ≥85 dB + outdoor walking/running distance ↑ + headphone level high</t>
  </si>
  <si>
    <t xml:space="preserve">Loud environment during commute/exercise with headphones high</t>
  </si>
  <si>
    <t xml:space="preserve">Hearing conservation warning (commute / outdoor exercise context)</t>
  </si>
  <si>
    <t xml:space="preserve">People often raise headphone volume in noisy environments, compounding total exposure.</t>
  </si>
  <si>
    <t xml:space="preserve">WHO/CDC noise-exposure guidance supports cumulative dose framing [S15, S16].</t>
  </si>
  <si>
    <t xml:space="preserve">User running outdoors with loud music</t>
  </si>
  <si>
    <t xml:space="preserve">Today's noise exposure looks high. A quieter route or lower volume could help.</t>
  </si>
  <si>
    <t xml:space="preserve">Not all environmental sound reaches the ear equally.</t>
  </si>
  <si>
    <t xml:space="preserve">R039</t>
  </si>
  <si>
    <t xml:space="preserve">Environmental sound levels ↑ at night + sleep fragmentation ↑ + resting HR ↑</t>
  </si>
  <si>
    <t xml:space="preserve">3–7 nights</t>
  </si>
  <si>
    <t xml:space="preserve">Night-time sound high vs baseline + sleep more broken + resting HR up</t>
  </si>
  <si>
    <t xml:space="preserve">Noise-related sleep disruption</t>
  </si>
  <si>
    <t xml:space="preserve">Environmental noise is associated with sleep disturbance and sympathetic activation.</t>
  </si>
  <si>
    <t xml:space="preserve">Environmental noise and sleep disturbance is a well-established public-health link [S16]. Apple environmental sound is not a clinical noise dosimeter.</t>
  </si>
  <si>
    <t xml:space="preserve">User in noisy apartment with poor sleep</t>
  </si>
  <si>
    <t xml:space="preserve">Your bedroom has been louder than usual on the nights your sleep was broken. Earplugs, a fan, or closing a window tonight might help.</t>
  </si>
  <si>
    <t xml:space="preserve">Apple environmental sound is not a clinical noise dosimeter.</t>
  </si>
  <si>
    <t xml:space="preserve">R040</t>
  </si>
  <si>
    <t xml:space="preserve">Circadian &amp; daylight</t>
  </si>
  <si>
    <t xml:space="preserve">Time in daylight ↓ + sleep duration ↓ + HRV ↓</t>
  </si>
  <si>
    <t xml:space="preserve">Daylight 30% below baseline + sleep &lt;7h or 20% below + HRV down</t>
  </si>
  <si>
    <t xml:space="preserve">Possible circadian recovery concern</t>
  </si>
  <si>
    <t xml:space="preserve">Low daylight can weaken circadian timing cues; recovery markers add context.</t>
  </si>
  <si>
    <t xml:space="preserve">Morning daylight exposure supports circadian alignment and downstream sleep quality [S13, S1, S3]. HRV link to daylight is indirect.</t>
  </si>
  <si>
    <t xml:space="preserve">Indoor week with poor sleep</t>
  </si>
  <si>
    <t xml:space="preserve">Your daylight exposure has been low and sleep more broken than usual. Ten minutes of morning light today often feels surprisingly good.</t>
  </si>
  <si>
    <t xml:space="preserve">Weather, indoor lighting, and schedule affect daylight time. Not a mood diagnosis.</t>
  </si>
  <si>
    <t xml:space="preserve">R041</t>
  </si>
  <si>
    <t xml:space="preserve">Time in daylight ↓ + steps ↓ + active energy ↓</t>
  </si>
  <si>
    <t xml:space="preserve">Daylight, steps, and active energy all down</t>
  </si>
  <si>
    <t xml:space="preserve">Low outdoor activity / sedentary pattern</t>
  </si>
  <si>
    <t xml:space="preserve">Combines outdoor exposure and movement, useful for gentle nudges.</t>
  </si>
  <si>
    <t xml:space="preserve">Outdoor activity and daylight exposure together are linked to better sleep, mood, and circadian alignment [S13, S6]. Each signal has lifestyle confounders.</t>
  </si>
  <si>
    <t xml:space="preserve">User mostly indoors and inactive</t>
  </si>
  <si>
    <t xml:space="preserve">Your outdoor time and movement have both been quieter than usual. Ten minutes outside today could be a nice reset.</t>
  </si>
  <si>
    <t xml:space="preserve">Not a mental health diagnosis. Weather, work, and caregiving affect outdoor time.</t>
  </si>
  <si>
    <t xml:space="preserve">R042</t>
  </si>
  <si>
    <t xml:space="preserve">Sleep duration ↓ + time in daylight ↓ + steps ↓</t>
  </si>
  <si>
    <t xml:space="preserve">All below baseline</t>
  </si>
  <si>
    <t xml:space="preserve">Sleep-loss / inactivity loop</t>
  </si>
  <si>
    <t xml:space="preserve">Less daylight and fewer steps can worsen sleep timing and daytime alertness — a self-reinforcing loop.</t>
  </si>
  <si>
    <t xml:space="preserve">Daylight, activity, and sleep are bidirectionally linked [S13, S6, S1]. Direction of causality at individual level is unclear from passive data.</t>
  </si>
  <si>
    <t xml:space="preserve">User stuck indoors with broken sleep</t>
  </si>
  <si>
    <t xml:space="preserve">Sleep, daylight, and movement have all dipped together. A short daylight walk today can help break the loop.</t>
  </si>
  <si>
    <t xml:space="preserve">Not depression diagnosis.</t>
  </si>
  <si>
    <t xml:space="preserve">R043</t>
  </si>
  <si>
    <t xml:space="preserve">Digital wellbeing</t>
  </si>
  <si>
    <t xml:space="preserve">Late-night phone use ↑ + sleep duration ↓ + sleep fragmentation ↑</t>
  </si>
  <si>
    <t xml:space="preserve">5–7 nights</t>
  </si>
  <si>
    <t xml:space="preserve">Phone screen time during typical sleep window above baseline + total sleep below baseline + sleep more broken</t>
  </si>
  <si>
    <t xml:space="preserve">Possible bedtime-phone routine affecting sleep</t>
  </si>
  <si>
    <t xml:space="preserve">Phone use during the typical sleep window is consistently associated with shorter and more fragmented sleep.</t>
  </si>
  <si>
    <t xml:space="preserve">Bedtime screen use is linked to delayed sleep onset and reduced sleep duration in adolescents and adults across multiple studies [S17]. Apple's Screen Time API exposes per-window usage passively, with no manual input required [S2].</t>
  </si>
  <si>
    <t xml:space="preserve">Student scrolling phone in bed, sleep getting shorter</t>
  </si>
  <si>
    <t xml:space="preserve">Your phone is staying on a bit later at night, and your sleep has been shorter and more broken. A small wind-down before bed tonight might help.</t>
  </si>
  <si>
    <t xml:space="preserve">Screen Time captures phone use only, not which app or content. Not a behavioral diagnosis.</t>
  </si>
  <si>
    <t xml:space="preserve">R044</t>
  </si>
  <si>
    <t xml:space="preserve">Total daily screen time ↑ + steps ↓ + stand hours ↓</t>
  </si>
  <si>
    <t xml:space="preserve">Screen time above baseline + steps and stand hours below baseline</t>
  </si>
  <si>
    <t xml:space="preserve">Sedentary screen-heavy week</t>
  </si>
  <si>
    <t xml:space="preserve">Higher screen time alongside reduced movement and standing time confirms a sedentary pattern more strongly than steps alone.</t>
  </si>
  <si>
    <t xml:space="preserve">Sedentary behavior research supports screen time and physical inactivity as related but distinct constructs [S6, S12, S17]. Screen time on its own does not equal harm; combined with low movement it is more meaningful.</t>
  </si>
  <si>
    <t xml:space="preserve">User had a screen-heavy, low-movement week</t>
  </si>
  <si>
    <t xml:space="preserve">You spent more time on screens this week and moved less. A short walk today, even five minutes, can help reset the balance.</t>
  </si>
  <si>
    <t xml:space="preserve">Screen time is not inherently harmful. Adapt for users whose work requires extended screen use.</t>
  </si>
  <si>
    <t xml:space="preserve">R045</t>
  </si>
  <si>
    <t xml:space="preserve">Social app usage ↑ sharply + sleep duration ↓ + HRV ↓</t>
  </si>
  <si>
    <t xml:space="preserve">5–7 days</t>
  </si>
  <si>
    <t xml:space="preserve">Social app time well above 30-day baseline + sleep down + HRV down</t>
  </si>
  <si>
    <t xml:space="preserve">Possible social media + recovery strain pattern</t>
  </si>
  <si>
    <t xml:space="preserve">Sudden rises in social media use have been linked to sleep loss and stress markers in observational studies.</t>
  </si>
  <si>
    <t xml:space="preserve">Cross-sectional and longitudinal studies link heavy social media use with reduced sleep and elevated stress markers, especially in younger users [S17]. Observational evidence; causation is mixed.</t>
  </si>
  <si>
    <t xml:space="preserve">User doomscrolling during a stressful period</t>
  </si>
  <si>
    <t xml:space="preserve">Your social app use has been higher than usual this week, and your sleep and recovery look a bit lower. A small phone-down window before bed might help.</t>
  </si>
  <si>
    <t xml:space="preserve">Observational evidence only. Heavy social use can reflect news events, work, or normal life — not a mental health signal.</t>
  </si>
  <si>
    <t xml:space="preserve">R046</t>
  </si>
  <si>
    <t xml:space="preserve">Entertainment app usage ↑ + late-night phone use ↑ + sleep duration ↓</t>
  </si>
  <si>
    <t xml:space="preserve">Streaming/games above baseline + phone active during typical sleep window + sleep below baseline</t>
  </si>
  <si>
    <t xml:space="preserve">Late entertainment affecting sleep</t>
  </si>
  <si>
    <t xml:space="preserve">Late-night entertainment app use specifically (vs. general phone use) more directly displaces sleep.</t>
  </si>
  <si>
    <t xml:space="preserve">Bedtime media use is associated with later bedtimes and shorter sleep [S17]. Apple Screen Time exposes app-category usage windows passively [S2].</t>
  </si>
  <si>
    <t xml:space="preserve">User watching streaming late, sleep getting shorter</t>
  </si>
  <si>
    <t xml:space="preserve">Late-night entertainment time has been higher this week and sleep is running shorter. An earlier wind-down tonight could feel good tomorrow.</t>
  </si>
  <si>
    <t xml:space="preserve">Screen Time captures category-level use only. Not a behavioral diagnosis.</t>
  </si>
  <si>
    <t xml:space="preserve">R047</t>
  </si>
  <si>
    <t xml:space="preserve">Phone pickups ↑ during work hours + steps ↓ + active energy ↓</t>
  </si>
  <si>
    <t xml:space="preserve">Pickups above baseline during typical work window + movement below baseline</t>
  </si>
  <si>
    <t xml:space="preserve">Possible high digital interruption + low movement pattern</t>
  </si>
  <si>
    <t xml:space="preserve">Frequent pickups alongside reduced movement may suggest a sedentary distracted day pattern.</t>
  </si>
  <si>
    <t xml:space="preserve">Phone pickup frequency is a recognized digital-distraction proxy; combined with sedentary movement it has more behavioral meaning than either alone [S6, S17]. Observational evidence.</t>
  </si>
  <si>
    <t xml:space="preserve">User in distracted, mostly-sedentary work week</t>
  </si>
  <si>
    <t xml:space="preserve">You've been picking up your phone often and moving less than usual. A short walk between tasks today could help reset focus.</t>
  </si>
  <si>
    <t xml:space="preserve">Pickup count is highly job-dependent. Avoid framing as productivity judgment.</t>
  </si>
  <si>
    <t xml:space="preserve">R048</t>
  </si>
  <si>
    <t xml:space="preserve">Composite multi-signal</t>
  </si>
  <si>
    <t xml:space="preserve">Wrist temperature ↑ + resting HR ↑ + respiratory rate ↑ + HRV ↓ + sleep duration ↓ + steps ↓</t>
  </si>
  <si>
    <t xml:space="preserve">2 nights + 1 day</t>
  </si>
  <si>
    <t xml:space="preserve">≥4 of 6 signals outside personal baseline simultaneously</t>
  </si>
  <si>
    <t xml:space="preserve">Possible whole-body shift / acute strain pattern</t>
  </si>
  <si>
    <t xml:space="preserve">Six-signal anomaly score is closer to how published wearable illness-detection actually works.</t>
  </si>
  <si>
    <t xml:space="preserve">Stanford-style multi-signal anomaly detection uses several physiological signals together rather than fixed thresholds [S4]. Apple Vitals lists all of these as core indicators [S2]. Composite-level evidence is direct in concept; the specific 4-of-6 threshold is heuristic.</t>
  </si>
  <si>
    <t xml:space="preserve">User's body shifting before they notice symptoms</t>
  </si>
  <si>
    <t xml:space="preserve">Several of your overnight and daytime signals are outside your usual range together. Today is a good day to slow down and rest.</t>
  </si>
  <si>
    <t xml:space="preserve">Not an illness or fever diagnosis. Signals can also shift with travel, alcohol, or schedule changes.</t>
  </si>
  <si>
    <t xml:space="preserve">R049</t>
  </si>
  <si>
    <t xml:space="preserve">Sleep duration trend ↓ + HRV trend ↓ + resting HR trend ↑ + active energy trend ↑ + cardio recovery trend ↓</t>
  </si>
  <si>
    <t xml:space="preserve">7-day rolling vs 30-day baseline</t>
  </si>
  <si>
    <t xml:space="preserve">Each signal expressed as % deviation from 30-day baseline; weighted sum exceeds threshold</t>
  </si>
  <si>
    <t xml:space="preserve">Cumulative recovery debt index</t>
  </si>
  <si>
    <t xml:space="preserve">A continuous index rather than binary triggers — easier to visualize and demo, and closer to readiness scores in athlete tools.</t>
  </si>
  <si>
    <t xml:space="preserve">Recovery and readiness indices in athlete tools commonly combine these signals [S1, S3, S6, S7]. Specific weightings are heuristic.</t>
  </si>
  <si>
    <t xml:space="preserve">User's recovery debt building over a busy training week</t>
  </si>
  <si>
    <t xml:space="preserve">Your recovery balance has been trending lower this week. A slower day today might help bring it back.</t>
  </si>
  <si>
    <t xml:space="preserve">Composite indices are heuristic. Useful for trends, not diagnosis.</t>
  </si>
  <si>
    <t xml:space="preserve">R050</t>
  </si>
  <si>
    <t xml:space="preserve">Walking speed ↓ + step length ↓ + double support time ↑ + walking asymmetry ↑ + walking steadiness low + steps ↓</t>
  </si>
  <si>
    <t xml:space="preserve">≥4 of 6 signals trending in concerning direction simultaneously</t>
  </si>
  <si>
    <t xml:space="preserve">Mobility safety bundle (multi-metric gait concern)</t>
  </si>
  <si>
    <t xml:space="preserve">Apple's Mobility Metrics paper supports treating these signals together; multi-metric framing is closer to clinical gait assessment.</t>
  </si>
  <si>
    <t xml:space="preserve">Apple Mobility Metrics white paper directly supports multi-metric gait evaluation [S10]. Walking Steadiness has independent validation as a fall-risk-related signal [S9].</t>
  </si>
  <si>
    <t xml:space="preserve">Older user with broad mobility decline</t>
  </si>
  <si>
    <t xml:space="preserve">Your walking pattern looks less steady across several measures this past two weeks. Easier walking and care on stairs may help.</t>
  </si>
  <si>
    <t xml:space="preserve">Strongest signal for older adults; less meaningful when phone is carried in a bag.</t>
  </si>
  <si>
    <t xml:space="preserve">R051</t>
  </si>
  <si>
    <t xml:space="preserve">Headphone audio dB-hours + environmental sound dB-hours + outdoor distance + workout time + total wear time</t>
  </si>
  <si>
    <t xml:space="preserve">Same day, rolling weekly cumulative</t>
  </si>
  <si>
    <t xml:space="preserve">Cumulative weekly dB-hours exceeds WHO safe-listening threshold</t>
  </si>
  <si>
    <t xml:space="preserve">Cumulative weekly noise dose warning</t>
  </si>
  <si>
    <t xml:space="preserve">This is how occupational noise dose is actually calculated — far more credible than paired-threshold rules.</t>
  </si>
  <si>
    <t xml:space="preserve">WHO and NIOSH dose-based hearing risk models combine source level, duration, and exposure context [S15, S16]. Direct evidence for the dose framing.</t>
  </si>
  <si>
    <t xml:space="preserve">User accumulating high weekly noise dose across activities</t>
  </si>
  <si>
    <t xml:space="preserve">Your weekly noise exposure is approaching the safe-listening guideline. Quieter listening for the next few days can keep your hearing margin healthy.</t>
  </si>
  <si>
    <t xml:space="preserve">Apple estimates exposure rather than measuring at the ear. Individual susceptibility varies.</t>
  </si>
  <si>
    <t xml:space="preserve">R052</t>
  </si>
  <si>
    <t xml:space="preserve">(Past 7d: temp ↑ + RHR ↑ + RR ↑ + HRV ↓) AND (today: steps ↑ + workout intensity ↑)</t>
  </si>
  <si>
    <t xml:space="preserve">7-day prior context + today</t>
  </si>
  <si>
    <t xml:space="preserve">Two-stage rule: body showed illness-like signals last week, user now ramping activity before vitals normalize</t>
  </si>
  <si>
    <t xml:space="preserve">Post-illness return-to-activity caution</t>
  </si>
  <si>
    <t xml:space="preserve">Common, real-world, under-served use case. Two-stage temporal logic differentiates Ripple from single-day rule engines.</t>
  </si>
  <si>
    <t xml:space="preserve">Post-illness graded return is medically standard; passive detection of the transition is plausible [S3, S4, S6]. No standardized wearable threshold for 'recovered'.</t>
  </si>
  <si>
    <t xml:space="preserve">User returns to running too soon after an illness-like week</t>
  </si>
  <si>
    <t xml:space="preserve">You're getting active again — nice. A few of last week's recovery signals haven't fully returned to your normal yet, so easing back in this week could help.</t>
  </si>
  <si>
    <t xml:space="preserve">Not medical clearance to resume activity. User context matters.</t>
  </si>
  <si>
    <t xml:space="preserve">R053</t>
  </si>
  <si>
    <t xml:space="preserve">Time in daylight ↓ + sleep timing variability ↑ + sleep duration ↓ + HRV ↓ + morning steps ↓</t>
  </si>
  <si>
    <t xml:space="preserve">Daylight low + sleep timing more variable + sleep short + HRV down + steps in first 3 hours after wake low</t>
  </si>
  <si>
    <t xml:space="preserve">Possible circadian misalignment pattern</t>
  </si>
  <si>
    <t xml:space="preserve">Adds a passive proxy for chronotype disruption (morning steps) to the standard daylight + sleep picture.</t>
  </si>
  <si>
    <t xml:space="preserve">Circadian alignment depends on both light exposure and consistent sleep timing [S13, S1, S3]. Morning activity as a chronotype proxy is plausible but not extensively studied at consumer-wearable resolution.</t>
  </si>
  <si>
    <t xml:space="preserve">User with shift-work-like irregular schedule</t>
  </si>
  <si>
    <t xml:space="preserve">Your sleep timing and daylight exposure have been irregular this week. Even one consistent morning walk can help your rhythm settle.</t>
  </si>
  <si>
    <t xml:space="preserve">Not a sleep disorder diagnosis. Schedule, travel, and shift work can drive these patterns naturally.</t>
  </si>
  <si>
    <t xml:space="preserve">Rank</t>
  </si>
  <si>
    <t xml:space="preserve">Rule name / pattern</t>
  </si>
  <si>
    <t xml:space="preserve">Why stronger for demo</t>
  </si>
  <si>
    <t xml:space="preserve">6-signal whole-body shift composite</t>
  </si>
  <si>
    <t xml:space="preserve">Strongest illness-like rule. Multi-signal anomaly framing matches Stanford-style published research.</t>
  </si>
  <si>
    <t xml:space="preserve">6-signal mobility safety bundle</t>
  </si>
  <si>
    <t xml:space="preserve">Direct Apple white-paper support. Best-evidenced gait-safety composite in the library.</t>
  </si>
  <si>
    <t xml:space="preserve">Walking speed ↓ + step length ↓ + double support ↑</t>
  </si>
  <si>
    <t xml:space="preserve">Cleanest single-pattern mobility rule. Iconic and easy to explain.</t>
  </si>
  <si>
    <t xml:space="preserve">Fall event + walking steadiness low + steps ↓</t>
  </si>
  <si>
    <t xml:space="preserve">High safety narrative value. Shows product maturity (opt-in, emergency disclaimer).</t>
  </si>
  <si>
    <t xml:space="preserve">Sleep ↓ + HRV ↓ + resting HR ↑</t>
  </si>
  <si>
    <t xml:space="preserve">Best general recovery rule. Easy to explain in 30 seconds.</t>
  </si>
  <si>
    <t xml:space="preserve">Cumulative weekly dB-hours noise dose</t>
  </si>
  <si>
    <t xml:space="preserve">Best public-health evidence base. Genuine prevention value.</t>
  </si>
  <si>
    <t xml:space="preserve">Simplest sedentary rule. Demos cleanly without over-claiming.</t>
  </si>
  <si>
    <t xml:space="preserve">Late-night phone use + sleep ↓ + sleep fragmentation ↑</t>
  </si>
  <si>
    <t xml:space="preserve">Differentiator: passive Screen Time data nobody else uses well. Highly relatable.</t>
  </si>
  <si>
    <t xml:space="preserve">Overtraining-like (RHR↑ + HRV↓ + sleep fragmented + exercise↑)</t>
  </si>
  <si>
    <t xml:space="preserve">Best-validated training-stress pattern. Strong for athlete users.</t>
  </si>
  <si>
    <t xml:space="preserve">5-signal recovery debt index (continuous score)</t>
  </si>
  <si>
    <t xml:space="preserve">Continuous index, not binary trigger. Visualizes well in demo.</t>
  </si>
  <si>
    <t xml:space="preserve">Rule count</t>
  </si>
  <si>
    <t xml:space="preserve">Description</t>
  </si>
  <si>
    <t xml:space="preserve">1–3 day vitals deviation. Overnight HR, HRV, RR, wrist temperature combinations.</t>
  </si>
  <si>
    <t xml:space="preserve">Sleep + autonomic + activity over 2–7 days. Core wellness recovery patterns.</t>
  </si>
  <si>
    <t xml:space="preserve">Workout-anchored fatigue, overload, readiness signals.</t>
  </si>
  <si>
    <t xml:space="preserve">30–60 day cardio fitness drift patterns.</t>
  </si>
  <si>
    <t xml:space="preserve">Step / energy / stand-hour patterns over 1–2 weeks.</t>
  </si>
  <si>
    <t xml:space="preserve">Apple mobility metrics, walking steadiness.</t>
  </si>
  <si>
    <t xml:space="preserve">Fall detection events. Opt-in + emergency disclaimer required.</t>
  </si>
  <si>
    <t xml:space="preserve">Headphone + environmental sound. WHO/NIOSH dose framing.</t>
  </si>
  <si>
    <t xml:space="preserve">Time in daylight + sleep timing patterns.</t>
  </si>
  <si>
    <t xml:space="preserve">Digital wellbeing (NEW)</t>
  </si>
  <si>
    <t xml:space="preserve">Passive iOS Screen Time data: total, late-night, social, entertainment, pickups.</t>
  </si>
  <si>
    <t xml:space="preserve">Composite multi-signal (NEW)</t>
  </si>
  <si>
    <t xml:space="preserve">5–6 signal indices. Strongest demo rules.</t>
  </si>
  <si>
    <t xml:space="preserve">TOTAL</t>
  </si>
  <si>
    <t xml:space="preserve">Down from 60 — quality over quantity.</t>
  </si>
  <si>
    <t xml:space="preserve">Formula check (sum of B2:B11)</t>
  </si>
  <si>
    <t xml:space="preserve">Change</t>
  </si>
  <si>
    <t xml:space="preserve">Detail</t>
  </si>
  <si>
    <t xml:space="preserve">Removed: SpO2-dependent rules</t>
  </si>
  <si>
    <t xml:space="preserve">Old R012, R014, R039, R040 deleted. SpO2 also removed from any composite signal lists.</t>
  </si>
  <si>
    <t xml:space="preserve">Removed: 'Sleep breathing' category entirely</t>
  </si>
  <si>
    <t xml:space="preserve">Apple already provides FDA-cleared sleep apnea notification. Ripple should not duplicate a cleared medical feature.</t>
  </si>
  <si>
    <t xml:space="preserve">Removed: weak / indirect rules</t>
  </si>
  <si>
    <t xml:space="preserve">Old R038 (daylight + steadiness + steps), R050 (noise + RHR + HRV → stress), R051 (late headphones → sleep).</t>
  </si>
  <si>
    <t xml:space="preserve">Removed: redundant duplicate rules</t>
  </si>
  <si>
    <t xml:space="preserve">Old R024, R025, R055 — these duplicated R001/R016/R023 patterns.</t>
  </si>
  <si>
    <t xml:space="preserve">Confidence recalibrated downward where signals are lifestyle-confounded</t>
  </si>
  <si>
    <t xml:space="preserve">Step-based rules: many lowered to Medium because steps depend on commute mode, weather, schedule. Walking-speed rules: noted that terrain and footwear matter. Wrist temperature rules: noted environment and menstrual cycle confounds. Cardio fitness rules: noted estimate noise.</t>
  </si>
  <si>
    <t xml:space="preserve">Added: Digital wellbeing category (5 rules)</t>
  </si>
  <si>
    <t xml:space="preserve">R043–R047 use passive iOS Screen Time data: total screen time, late-night phone use, app-category usage (social, entertainment), pickup count. No manual input required.</t>
  </si>
  <si>
    <t xml:space="preserve">Added: 6 composite multi-signal rules (5–6 signals each)</t>
  </si>
  <si>
    <t xml:space="preserve">R048–R053 — body-state shift, recovery debt index, mobility safety bundle, weekly noise dose, post-illness return, circadian misalignment.</t>
  </si>
  <si>
    <t xml:space="preserve">Categories cleaned up</t>
  </si>
  <si>
    <t xml:space="preserve">Reduced from ~17 overlapping labels to 11 coherent categories. Recovery / stress / strain merged into 'Daily recovery'.</t>
  </si>
  <si>
    <t xml:space="preserve">WhatsApp messages softened</t>
  </si>
  <si>
    <t xml:space="preserve">Removed 'monitor symptoms', moved ER warnings to safety_limitation, added agency-preserving phrasing ('if that fits').</t>
  </si>
  <si>
    <t xml:space="preserve">Evidence paragraphs upgraded</t>
  </si>
  <si>
    <t xml:space="preserve">Direction-of-effect vs threshold-confidence framing added to high-importance rules.</t>
  </si>
  <si>
    <t xml:space="preserve">Fall safety messages reordered</t>
  </si>
  <si>
    <t xml:space="preserve">Emergency option now mentioned before machine observation. Added explicit 'WhatsApp is not an emergency channel' to safety_limitation.</t>
  </si>
  <si>
    <t xml:space="preserve">Added Source S17</t>
  </si>
  <si>
    <t xml:space="preserve">Screen time and sleep/wellbeing review (PMC8961270) for digital wellbeing rules.</t>
  </si>
  <si>
    <t xml:space="preserve">53 (down from 60). Quality over quantity.</t>
  </si>
  <si>
    <t xml:space="preserve">Source ID</t>
  </si>
  <si>
    <t xml:space="preserve">Topic</t>
  </si>
  <si>
    <t xml:space="preserve">Plain-text URL</t>
  </si>
  <si>
    <t xml:space="preserve">S1</t>
  </si>
  <si>
    <t xml:space="preserve">CDC sleep duration and insufficient sleep facts</t>
  </si>
  <si>
    <t xml:space="preserve">https://www.cdc.gov/sleep/data-research/facts-stats/adults-sleep-facts-and-stats.html</t>
  </si>
  <si>
    <t xml:space="preserve">S2</t>
  </si>
  <si>
    <t xml:space="preserve">Apple Health / Apple Watch Vitals and typical ranges</t>
  </si>
  <si>
    <t xml:space="preserve">https://support.apple.com/en-sg/guide/watch/apd7941a2f19/watchos</t>
  </si>
  <si>
    <t xml:space="preserve">S3</t>
  </si>
  <si>
    <t xml:space="preserve">Wearables, HRV, sleep, and stress-related evidence review</t>
  </si>
  <si>
    <t xml:space="preserve">https://pmc.ncbi.nlm.nih.gov/articles/PMC10110519/</t>
  </si>
  <si>
    <t xml:space="preserve">S4</t>
  </si>
  <si>
    <t xml:space="preserve">Stanford wearable sensors and illness-like physiology research</t>
  </si>
  <si>
    <t xml:space="preserve">https://med.stanford.edu/medicalgiving/news/wearable-sensors-can-tell-when-you-are-getting-sick.html</t>
  </si>
  <si>
    <t xml:space="preserve">S6</t>
  </si>
  <si>
    <t xml:space="preserve">WHO physical activity guidance</t>
  </si>
  <si>
    <t xml:space="preserve">https://www.who.int/news-room/fact-sheets/detail/physical-activity</t>
  </si>
  <si>
    <t xml:space="preserve">S7</t>
  </si>
  <si>
    <t xml:space="preserve">Heart-rate recovery after exercise evidence</t>
  </si>
  <si>
    <t xml:space="preserve">https://www.nejm.org/doi/full/10.1056/NEJM199910283411804</t>
  </si>
  <si>
    <t xml:space="preserve">S8</t>
  </si>
  <si>
    <t xml:space="preserve">Cardiorespiratory fitness as a health marker (AHA)</t>
  </si>
  <si>
    <t xml:space="preserve">https://www.ahajournals.org/doi/10.1161/CIR.0000000000000461</t>
  </si>
  <si>
    <t xml:space="preserve">S9</t>
  </si>
  <si>
    <t xml:space="preserve">Apple Walking Steadiness and mobility metrics</t>
  </si>
  <si>
    <t xml:space="preserve">https://support.apple.com/guide/iphone/monitor-your-walking-steadiness-iphff1bf03ed/ios</t>
  </si>
  <si>
    <t xml:space="preserve">S10</t>
  </si>
  <si>
    <t xml:space="preserve">Apple mobility metrics white paper (walking speed, step length, double support, asymmetry)</t>
  </si>
  <si>
    <t xml:space="preserve">https://www.apple.com/sg/healthcare/docs/site/Measuring_Walking_Quality_Through_iPhone_Mobility_Metrics.pdf</t>
  </si>
  <si>
    <t xml:space="preserve">S11</t>
  </si>
  <si>
    <t xml:space="preserve">Apple Watch Fall Detection safety information</t>
  </si>
  <si>
    <t xml:space="preserve">https://support.apple.com/en-sg/108896</t>
  </si>
  <si>
    <t xml:space="preserve">S12</t>
  </si>
  <si>
    <t xml:space="preserve">Step count and mortality meta-analysis</t>
  </si>
  <si>
    <t xml:space="preserve">https://pubmed.ncbi.nlm.nih.gov/34417979/</t>
  </si>
  <si>
    <t xml:space="preserve">S13</t>
  </si>
  <si>
    <t xml:space="preserve">Daytime/morning light, circadian rhythm, and sleep outcomes</t>
  </si>
  <si>
    <t xml:space="preserve">https://pmc.ncbi.nlm.nih.gov/articles/PMC12502225/</t>
  </si>
  <si>
    <t xml:space="preserve">S14</t>
  </si>
  <si>
    <t xml:space="preserve">Apple Watch sleep stage validation / consumer wearable limitation</t>
  </si>
  <si>
    <t xml:space="preserve">https://pmc.ncbi.nlm.nih.gov/articles/PMC11511193/</t>
  </si>
  <si>
    <t xml:space="preserve">S15</t>
  </si>
  <si>
    <t xml:space="preserve">WHO safe listening guidance</t>
  </si>
  <si>
    <t xml:space="preserve">https://www.who.int/news-room/questions-and-answers/item/deafness-and-hearing-loss-safe-listening</t>
  </si>
  <si>
    <t xml:space="preserve">S16</t>
  </si>
  <si>
    <t xml:space="preserve">CDC/NIOSH noise and hearing safety</t>
  </si>
  <si>
    <t xml:space="preserve">https://www.cdc.gov/niosh/noise/about/index.html</t>
  </si>
  <si>
    <t xml:space="preserve">S17</t>
  </si>
  <si>
    <t xml:space="preserve">Screen time, smartphone use, and sleep / wellbeing review</t>
  </si>
  <si>
    <t xml:space="preserve">https://pmc.ncbi.nlm.nih.gov/articles/PMC8961270/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</si>
</sst>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DEBF7"/>
        <bgColor rgb="FFCCFF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FEB9C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32.8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3" t="s">
        <v>1</v>
      </c>
      <c r="B3" s="2" t="s">
        <v>2</v>
      </c>
    </row>
    <row r="4" customFormat="false" ht="23.85" hidden="false" customHeight="false" outlineLevel="0" collapsed="false">
      <c r="A4" s="3" t="s">
        <v>3</v>
      </c>
      <c r="B4" s="2" t="s">
        <v>4</v>
      </c>
    </row>
    <row r="5" customFormat="false" ht="35.0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35.0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23.85" hidden="false" customHeight="false" outlineLevel="0" collapsed="false">
      <c r="A9" s="3" t="s">
        <v>13</v>
      </c>
      <c r="B9" s="2" t="s">
        <v>14</v>
      </c>
    </row>
    <row r="10" customFormat="false" ht="23.85" hidden="false" customHeight="false" outlineLevel="0" collapsed="false">
      <c r="A10" s="3" t="s">
        <v>15</v>
      </c>
      <c r="B10" s="2" t="s">
        <v>16</v>
      </c>
    </row>
    <row r="11" customFormat="false" ht="23.85" hidden="false" customHeight="false" outlineLevel="0" collapsed="false">
      <c r="A11" s="3" t="s">
        <v>17</v>
      </c>
      <c r="B11" s="2" t="s">
        <v>18</v>
      </c>
    </row>
    <row r="12" customFormat="false" ht="23.85" hidden="false" customHeight="false" outlineLevel="0" collapsed="false">
      <c r="A12" s="3" t="s">
        <v>19</v>
      </c>
      <c r="B12" s="2" t="s">
        <v>20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3" t="s">
        <v>21</v>
      </c>
      <c r="B14" s="2" t="s">
        <v>22</v>
      </c>
    </row>
    <row r="15" customFormat="false" ht="15" hidden="false" customHeight="false" outlineLevel="0" collapsed="false">
      <c r="A15" s="3" t="s">
        <v>23</v>
      </c>
      <c r="B15" s="2" t="n">
        <v>53</v>
      </c>
    </row>
    <row r="16" customFormat="false" ht="15" hidden="false" customHeight="false" outlineLevel="0" collapsed="false">
      <c r="A16" s="4" t="s">
        <v>24</v>
      </c>
      <c r="B16" s="4" t="n">
        <f aca="false">COUNTIF('Core Rule Library'!I:I,"High")</f>
        <v>10</v>
      </c>
    </row>
    <row r="17" customFormat="false" ht="15" hidden="false" customHeight="false" outlineLevel="0" collapsed="false">
      <c r="A17" s="4" t="s">
        <v>25</v>
      </c>
      <c r="B17" s="4" t="n">
        <f aca="false">COUNTIF('Core Rule Library'!I:I,"Medium-High")</f>
        <v>13</v>
      </c>
    </row>
    <row r="18" customFormat="false" ht="15" hidden="false" customHeight="false" outlineLevel="0" collapsed="false">
      <c r="A18" s="4" t="s">
        <v>26</v>
      </c>
      <c r="B18" s="4" t="n">
        <f aca="false">COUNTIF('Core Rule Library'!I:I,"Medium")</f>
        <v>27</v>
      </c>
    </row>
    <row r="19" customFormat="false" ht="15" hidden="false" customHeight="false" outlineLevel="0" collapsed="false">
      <c r="A19" s="4" t="s">
        <v>27</v>
      </c>
      <c r="B19" s="4" t="n">
        <f aca="false">COUNTIF('Core Rule Library'!I:I,"Low-Medium")</f>
        <v>3</v>
      </c>
    </row>
    <row r="20" customFormat="false" ht="15" hidden="false" customHeight="false" outlineLevel="0" collapsed="false">
      <c r="A20" s="4" t="s">
        <v>28</v>
      </c>
      <c r="B20" s="4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50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50"/>
    <col collapsed="false" customWidth="true" hidden="false" outlineLevel="0" max="12" min="12" style="0" width="38"/>
  </cols>
  <sheetData>
    <row r="1" customFormat="false" ht="33.75" hidden="false" customHeight="tru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</row>
    <row r="2" customFormat="false" ht="129.75" hidden="false" customHeight="true" outlineLevel="0" collapsed="false">
      <c r="A2" s="6" t="s">
        <v>41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  <c r="G2" s="6" t="s">
        <v>47</v>
      </c>
      <c r="H2" s="6" t="s">
        <v>48</v>
      </c>
      <c r="I2" s="7" t="s">
        <v>49</v>
      </c>
      <c r="J2" s="6" t="s">
        <v>50</v>
      </c>
      <c r="K2" s="6" t="s">
        <v>51</v>
      </c>
      <c r="L2" s="6" t="s">
        <v>52</v>
      </c>
    </row>
    <row r="3" customFormat="false" ht="129.75" hidden="false" customHeight="true" outlineLevel="0" collapsed="false">
      <c r="A3" s="6" t="s">
        <v>53</v>
      </c>
      <c r="B3" s="6" t="s">
        <v>42</v>
      </c>
      <c r="C3" s="6" t="s">
        <v>54</v>
      </c>
      <c r="D3" s="6" t="s">
        <v>55</v>
      </c>
      <c r="E3" s="6" t="s">
        <v>56</v>
      </c>
      <c r="F3" s="6" t="s">
        <v>57</v>
      </c>
      <c r="G3" s="6" t="s">
        <v>58</v>
      </c>
      <c r="H3" s="6" t="s">
        <v>59</v>
      </c>
      <c r="I3" s="8" t="s">
        <v>60</v>
      </c>
      <c r="J3" s="6" t="s">
        <v>61</v>
      </c>
      <c r="K3" s="6" t="s">
        <v>62</v>
      </c>
      <c r="L3" s="6" t="s">
        <v>63</v>
      </c>
    </row>
    <row r="4" customFormat="false" ht="129.75" hidden="false" customHeight="true" outlineLevel="0" collapsed="false">
      <c r="A4" s="6" t="s">
        <v>64</v>
      </c>
      <c r="B4" s="6" t="s">
        <v>42</v>
      </c>
      <c r="C4" s="6" t="s">
        <v>65</v>
      </c>
      <c r="D4" s="6" t="s">
        <v>55</v>
      </c>
      <c r="E4" s="6" t="s">
        <v>66</v>
      </c>
      <c r="F4" s="6" t="s">
        <v>67</v>
      </c>
      <c r="G4" s="6" t="s">
        <v>68</v>
      </c>
      <c r="H4" s="6" t="s">
        <v>69</v>
      </c>
      <c r="I4" s="8" t="s">
        <v>60</v>
      </c>
      <c r="J4" s="6" t="s">
        <v>70</v>
      </c>
      <c r="K4" s="6" t="s">
        <v>71</v>
      </c>
      <c r="L4" s="6" t="s">
        <v>72</v>
      </c>
    </row>
    <row r="5" customFormat="false" ht="129.75" hidden="false" customHeight="true" outlineLevel="0" collapsed="false">
      <c r="A5" s="6" t="s">
        <v>73</v>
      </c>
      <c r="B5" s="6" t="s">
        <v>42</v>
      </c>
      <c r="C5" s="6" t="s">
        <v>74</v>
      </c>
      <c r="D5" s="6" t="s">
        <v>75</v>
      </c>
      <c r="E5" s="6" t="s">
        <v>76</v>
      </c>
      <c r="F5" s="6" t="s">
        <v>77</v>
      </c>
      <c r="G5" s="6" t="s">
        <v>78</v>
      </c>
      <c r="H5" s="6" t="s">
        <v>79</v>
      </c>
      <c r="I5" s="9" t="s">
        <v>80</v>
      </c>
      <c r="J5" s="6" t="s">
        <v>81</v>
      </c>
      <c r="K5" s="6" t="s">
        <v>82</v>
      </c>
      <c r="L5" s="6" t="s">
        <v>83</v>
      </c>
    </row>
    <row r="6" customFormat="false" ht="129.75" hidden="false" customHeight="true" outlineLevel="0" collapsed="false">
      <c r="A6" s="6" t="s">
        <v>84</v>
      </c>
      <c r="B6" s="6" t="s">
        <v>42</v>
      </c>
      <c r="C6" s="6" t="s">
        <v>85</v>
      </c>
      <c r="D6" s="6" t="s">
        <v>86</v>
      </c>
      <c r="E6" s="6" t="s">
        <v>87</v>
      </c>
      <c r="F6" s="6" t="s">
        <v>88</v>
      </c>
      <c r="G6" s="6" t="s">
        <v>89</v>
      </c>
      <c r="H6" s="6" t="s">
        <v>90</v>
      </c>
      <c r="I6" s="8" t="s">
        <v>60</v>
      </c>
      <c r="J6" s="6" t="s">
        <v>91</v>
      </c>
      <c r="K6" s="6" t="s">
        <v>92</v>
      </c>
      <c r="L6" s="6" t="s">
        <v>93</v>
      </c>
    </row>
    <row r="7" customFormat="false" ht="129.75" hidden="false" customHeight="true" outlineLevel="0" collapsed="false">
      <c r="A7" s="6" t="s">
        <v>94</v>
      </c>
      <c r="B7" s="6" t="s">
        <v>95</v>
      </c>
      <c r="C7" s="6" t="s">
        <v>96</v>
      </c>
      <c r="D7" s="6" t="s">
        <v>75</v>
      </c>
      <c r="E7" s="6" t="s">
        <v>97</v>
      </c>
      <c r="F7" s="6" t="s">
        <v>98</v>
      </c>
      <c r="G7" s="6" t="s">
        <v>99</v>
      </c>
      <c r="H7" s="6" t="s">
        <v>100</v>
      </c>
      <c r="I7" s="10" t="s">
        <v>101</v>
      </c>
      <c r="J7" s="6" t="s">
        <v>102</v>
      </c>
      <c r="K7" s="6" t="s">
        <v>103</v>
      </c>
      <c r="L7" s="6" t="s">
        <v>104</v>
      </c>
    </row>
    <row r="8" customFormat="false" ht="129.75" hidden="false" customHeight="true" outlineLevel="0" collapsed="false">
      <c r="A8" s="6" t="s">
        <v>105</v>
      </c>
      <c r="B8" s="6" t="s">
        <v>95</v>
      </c>
      <c r="C8" s="6" t="s">
        <v>106</v>
      </c>
      <c r="D8" s="6" t="s">
        <v>107</v>
      </c>
      <c r="E8" s="6" t="s">
        <v>108</v>
      </c>
      <c r="F8" s="6" t="s">
        <v>109</v>
      </c>
      <c r="G8" s="6" t="s">
        <v>110</v>
      </c>
      <c r="H8" s="6" t="s">
        <v>111</v>
      </c>
      <c r="I8" s="8" t="s">
        <v>60</v>
      </c>
      <c r="J8" s="6" t="s">
        <v>112</v>
      </c>
      <c r="K8" s="6" t="s">
        <v>113</v>
      </c>
      <c r="L8" s="6" t="s">
        <v>114</v>
      </c>
    </row>
    <row r="9" customFormat="false" ht="129.75" hidden="false" customHeight="true" outlineLevel="0" collapsed="false">
      <c r="A9" s="6" t="s">
        <v>115</v>
      </c>
      <c r="B9" s="6" t="s">
        <v>95</v>
      </c>
      <c r="C9" s="6" t="s">
        <v>116</v>
      </c>
      <c r="D9" s="6" t="s">
        <v>86</v>
      </c>
      <c r="E9" s="6" t="s">
        <v>117</v>
      </c>
      <c r="F9" s="6" t="s">
        <v>118</v>
      </c>
      <c r="G9" s="6" t="s">
        <v>119</v>
      </c>
      <c r="H9" s="6" t="s">
        <v>120</v>
      </c>
      <c r="I9" s="8" t="s">
        <v>60</v>
      </c>
      <c r="J9" s="6" t="s">
        <v>121</v>
      </c>
      <c r="K9" s="6" t="s">
        <v>122</v>
      </c>
      <c r="L9" s="6" t="s">
        <v>123</v>
      </c>
    </row>
    <row r="10" customFormat="false" ht="129.75" hidden="false" customHeight="true" outlineLevel="0" collapsed="false">
      <c r="A10" s="6" t="s">
        <v>124</v>
      </c>
      <c r="B10" s="6" t="s">
        <v>95</v>
      </c>
      <c r="C10" s="6" t="s">
        <v>125</v>
      </c>
      <c r="D10" s="6" t="s">
        <v>86</v>
      </c>
      <c r="E10" s="6" t="s">
        <v>126</v>
      </c>
      <c r="F10" s="6" t="s">
        <v>127</v>
      </c>
      <c r="G10" s="6" t="s">
        <v>128</v>
      </c>
      <c r="H10" s="6" t="s">
        <v>129</v>
      </c>
      <c r="I10" s="7" t="s">
        <v>49</v>
      </c>
      <c r="J10" s="6" t="s">
        <v>130</v>
      </c>
      <c r="K10" s="6" t="s">
        <v>131</v>
      </c>
      <c r="L10" s="6" t="s">
        <v>132</v>
      </c>
    </row>
    <row r="11" customFormat="false" ht="129.75" hidden="false" customHeight="true" outlineLevel="0" collapsed="false">
      <c r="A11" s="6" t="s">
        <v>133</v>
      </c>
      <c r="B11" s="6" t="s">
        <v>95</v>
      </c>
      <c r="C11" s="6" t="s">
        <v>134</v>
      </c>
      <c r="D11" s="6" t="s">
        <v>135</v>
      </c>
      <c r="E11" s="6" t="s">
        <v>136</v>
      </c>
      <c r="F11" s="6" t="s">
        <v>137</v>
      </c>
      <c r="G11" s="6" t="s">
        <v>138</v>
      </c>
      <c r="H11" s="6" t="s">
        <v>139</v>
      </c>
      <c r="I11" s="8" t="s">
        <v>60</v>
      </c>
      <c r="J11" s="6" t="s">
        <v>140</v>
      </c>
      <c r="K11" s="6" t="s">
        <v>141</v>
      </c>
      <c r="L11" s="6" t="s">
        <v>142</v>
      </c>
    </row>
    <row r="12" customFormat="false" ht="129.75" hidden="false" customHeight="true" outlineLevel="0" collapsed="false">
      <c r="A12" s="6" t="s">
        <v>143</v>
      </c>
      <c r="B12" s="6" t="s">
        <v>95</v>
      </c>
      <c r="C12" s="6" t="s">
        <v>144</v>
      </c>
      <c r="D12" s="6" t="s">
        <v>145</v>
      </c>
      <c r="E12" s="6" t="s">
        <v>146</v>
      </c>
      <c r="F12" s="6" t="s">
        <v>147</v>
      </c>
      <c r="G12" s="6" t="s">
        <v>148</v>
      </c>
      <c r="H12" s="6" t="s">
        <v>149</v>
      </c>
      <c r="I12" s="8" t="s">
        <v>60</v>
      </c>
      <c r="J12" s="6" t="s">
        <v>150</v>
      </c>
      <c r="K12" s="6" t="s">
        <v>151</v>
      </c>
      <c r="L12" s="6" t="s">
        <v>152</v>
      </c>
    </row>
    <row r="13" customFormat="false" ht="129.75" hidden="false" customHeight="true" outlineLevel="0" collapsed="false">
      <c r="A13" s="6" t="s">
        <v>153</v>
      </c>
      <c r="B13" s="6" t="s">
        <v>154</v>
      </c>
      <c r="C13" s="6" t="s">
        <v>155</v>
      </c>
      <c r="D13" s="6" t="s">
        <v>156</v>
      </c>
      <c r="E13" s="6" t="s">
        <v>157</v>
      </c>
      <c r="F13" s="6" t="s">
        <v>158</v>
      </c>
      <c r="G13" s="6" t="s">
        <v>159</v>
      </c>
      <c r="H13" s="6" t="s">
        <v>160</v>
      </c>
      <c r="I13" s="8" t="s">
        <v>60</v>
      </c>
      <c r="J13" s="6" t="s">
        <v>161</v>
      </c>
      <c r="K13" s="6" t="s">
        <v>162</v>
      </c>
      <c r="L13" s="6" t="s">
        <v>163</v>
      </c>
    </row>
    <row r="14" customFormat="false" ht="129.75" hidden="false" customHeight="true" outlineLevel="0" collapsed="false">
      <c r="A14" s="6" t="s">
        <v>164</v>
      </c>
      <c r="B14" s="6" t="s">
        <v>154</v>
      </c>
      <c r="C14" s="6" t="s">
        <v>165</v>
      </c>
      <c r="D14" s="6" t="s">
        <v>166</v>
      </c>
      <c r="E14" s="6" t="s">
        <v>167</v>
      </c>
      <c r="F14" s="6" t="s">
        <v>168</v>
      </c>
      <c r="G14" s="6" t="s">
        <v>169</v>
      </c>
      <c r="H14" s="6" t="s">
        <v>170</v>
      </c>
      <c r="I14" s="7" t="s">
        <v>49</v>
      </c>
      <c r="J14" s="6" t="s">
        <v>171</v>
      </c>
      <c r="K14" s="6" t="s">
        <v>172</v>
      </c>
      <c r="L14" s="6" t="s">
        <v>173</v>
      </c>
    </row>
    <row r="15" customFormat="false" ht="129.75" hidden="false" customHeight="true" outlineLevel="0" collapsed="false">
      <c r="A15" s="6" t="s">
        <v>174</v>
      </c>
      <c r="B15" s="6" t="s">
        <v>154</v>
      </c>
      <c r="C15" s="6" t="s">
        <v>175</v>
      </c>
      <c r="D15" s="6" t="s">
        <v>166</v>
      </c>
      <c r="E15" s="6" t="s">
        <v>176</v>
      </c>
      <c r="F15" s="6" t="s">
        <v>177</v>
      </c>
      <c r="G15" s="6" t="s">
        <v>178</v>
      </c>
      <c r="H15" s="6" t="s">
        <v>179</v>
      </c>
      <c r="I15" s="7" t="s">
        <v>49</v>
      </c>
      <c r="J15" s="6" t="s">
        <v>180</v>
      </c>
      <c r="K15" s="6" t="s">
        <v>181</v>
      </c>
      <c r="L15" s="6" t="s">
        <v>182</v>
      </c>
    </row>
    <row r="16" customFormat="false" ht="129.75" hidden="false" customHeight="true" outlineLevel="0" collapsed="false">
      <c r="A16" s="6" t="s">
        <v>183</v>
      </c>
      <c r="B16" s="6" t="s">
        <v>154</v>
      </c>
      <c r="C16" s="6" t="s">
        <v>184</v>
      </c>
      <c r="D16" s="6" t="s">
        <v>185</v>
      </c>
      <c r="E16" s="6" t="s">
        <v>186</v>
      </c>
      <c r="F16" s="6" t="s">
        <v>187</v>
      </c>
      <c r="G16" s="6" t="s">
        <v>188</v>
      </c>
      <c r="H16" s="6" t="s">
        <v>189</v>
      </c>
      <c r="I16" s="8" t="s">
        <v>60</v>
      </c>
      <c r="J16" s="6" t="s">
        <v>190</v>
      </c>
      <c r="K16" s="6" t="s">
        <v>191</v>
      </c>
      <c r="L16" s="6" t="s">
        <v>192</v>
      </c>
    </row>
    <row r="17" customFormat="false" ht="129.75" hidden="false" customHeight="true" outlineLevel="0" collapsed="false">
      <c r="A17" s="6" t="s">
        <v>193</v>
      </c>
      <c r="B17" s="6" t="s">
        <v>154</v>
      </c>
      <c r="C17" s="6" t="s">
        <v>194</v>
      </c>
      <c r="D17" s="6" t="s">
        <v>195</v>
      </c>
      <c r="E17" s="6" t="s">
        <v>196</v>
      </c>
      <c r="F17" s="6" t="s">
        <v>197</v>
      </c>
      <c r="G17" s="6" t="s">
        <v>198</v>
      </c>
      <c r="H17" s="6" t="s">
        <v>199</v>
      </c>
      <c r="I17" s="8" t="s">
        <v>60</v>
      </c>
      <c r="J17" s="6" t="s">
        <v>200</v>
      </c>
      <c r="K17" s="6" t="s">
        <v>201</v>
      </c>
      <c r="L17" s="6" t="s">
        <v>202</v>
      </c>
    </row>
    <row r="18" customFormat="false" ht="129.75" hidden="false" customHeight="true" outlineLevel="0" collapsed="false">
      <c r="A18" s="6" t="s">
        <v>203</v>
      </c>
      <c r="B18" s="6" t="s">
        <v>154</v>
      </c>
      <c r="C18" s="6" t="s">
        <v>204</v>
      </c>
      <c r="D18" s="6" t="s">
        <v>195</v>
      </c>
      <c r="E18" s="6" t="s">
        <v>205</v>
      </c>
      <c r="F18" s="6" t="s">
        <v>206</v>
      </c>
      <c r="G18" s="6" t="s">
        <v>207</v>
      </c>
      <c r="H18" s="6" t="s">
        <v>208</v>
      </c>
      <c r="I18" s="10" t="s">
        <v>101</v>
      </c>
      <c r="J18" s="6" t="s">
        <v>209</v>
      </c>
      <c r="K18" s="6" t="s">
        <v>210</v>
      </c>
      <c r="L18" s="6" t="s">
        <v>211</v>
      </c>
    </row>
    <row r="19" customFormat="false" ht="129.75" hidden="false" customHeight="true" outlineLevel="0" collapsed="false">
      <c r="A19" s="6" t="s">
        <v>212</v>
      </c>
      <c r="B19" s="6" t="s">
        <v>154</v>
      </c>
      <c r="C19" s="6" t="s">
        <v>213</v>
      </c>
      <c r="D19" s="6" t="s">
        <v>214</v>
      </c>
      <c r="E19" s="6" t="s">
        <v>215</v>
      </c>
      <c r="F19" s="6" t="s">
        <v>216</v>
      </c>
      <c r="G19" s="6" t="s">
        <v>217</v>
      </c>
      <c r="H19" s="6" t="s">
        <v>218</v>
      </c>
      <c r="I19" s="8" t="s">
        <v>60</v>
      </c>
      <c r="J19" s="6" t="s">
        <v>219</v>
      </c>
      <c r="K19" s="6" t="s">
        <v>220</v>
      </c>
      <c r="L19" s="6" t="s">
        <v>221</v>
      </c>
    </row>
    <row r="20" customFormat="false" ht="129.75" hidden="false" customHeight="true" outlineLevel="0" collapsed="false">
      <c r="A20" s="6" t="s">
        <v>222</v>
      </c>
      <c r="B20" s="6" t="s">
        <v>223</v>
      </c>
      <c r="C20" s="6" t="s">
        <v>224</v>
      </c>
      <c r="D20" s="6" t="s">
        <v>225</v>
      </c>
      <c r="E20" s="6" t="s">
        <v>226</v>
      </c>
      <c r="F20" s="6" t="s">
        <v>227</v>
      </c>
      <c r="G20" s="6" t="s">
        <v>228</v>
      </c>
      <c r="H20" s="6" t="s">
        <v>229</v>
      </c>
      <c r="I20" s="7" t="s">
        <v>49</v>
      </c>
      <c r="J20" s="6" t="s">
        <v>230</v>
      </c>
      <c r="K20" s="6" t="s">
        <v>231</v>
      </c>
      <c r="L20" s="6" t="s">
        <v>232</v>
      </c>
    </row>
    <row r="21" customFormat="false" ht="129.75" hidden="false" customHeight="true" outlineLevel="0" collapsed="false">
      <c r="A21" s="6" t="s">
        <v>233</v>
      </c>
      <c r="B21" s="6" t="s">
        <v>223</v>
      </c>
      <c r="C21" s="6" t="s">
        <v>234</v>
      </c>
      <c r="D21" s="6" t="s">
        <v>235</v>
      </c>
      <c r="E21" s="6" t="s">
        <v>236</v>
      </c>
      <c r="F21" s="6" t="s">
        <v>237</v>
      </c>
      <c r="G21" s="6" t="s">
        <v>238</v>
      </c>
      <c r="H21" s="6" t="s">
        <v>239</v>
      </c>
      <c r="I21" s="8" t="s">
        <v>60</v>
      </c>
      <c r="J21" s="6" t="s">
        <v>240</v>
      </c>
      <c r="K21" s="6" t="s">
        <v>241</v>
      </c>
      <c r="L21" s="6" t="s">
        <v>242</v>
      </c>
    </row>
    <row r="22" customFormat="false" ht="129.75" hidden="false" customHeight="true" outlineLevel="0" collapsed="false">
      <c r="A22" s="6" t="s">
        <v>243</v>
      </c>
      <c r="B22" s="6" t="s">
        <v>223</v>
      </c>
      <c r="C22" s="6" t="s">
        <v>244</v>
      </c>
      <c r="D22" s="6" t="s">
        <v>225</v>
      </c>
      <c r="E22" s="6" t="s">
        <v>245</v>
      </c>
      <c r="F22" s="6" t="s">
        <v>246</v>
      </c>
      <c r="G22" s="6" t="s">
        <v>247</v>
      </c>
      <c r="H22" s="6" t="s">
        <v>248</v>
      </c>
      <c r="I22" s="8" t="s">
        <v>60</v>
      </c>
      <c r="J22" s="6" t="s">
        <v>249</v>
      </c>
      <c r="K22" s="6" t="s">
        <v>250</v>
      </c>
      <c r="L22" s="6" t="s">
        <v>251</v>
      </c>
    </row>
    <row r="23" customFormat="false" ht="129.75" hidden="false" customHeight="true" outlineLevel="0" collapsed="false">
      <c r="A23" s="6" t="s">
        <v>252</v>
      </c>
      <c r="B23" s="6" t="s">
        <v>253</v>
      </c>
      <c r="C23" s="6" t="s">
        <v>254</v>
      </c>
      <c r="D23" s="6" t="s">
        <v>195</v>
      </c>
      <c r="E23" s="6" t="s">
        <v>255</v>
      </c>
      <c r="F23" s="6" t="s">
        <v>256</v>
      </c>
      <c r="G23" s="6" t="s">
        <v>257</v>
      </c>
      <c r="H23" s="6" t="s">
        <v>258</v>
      </c>
      <c r="I23" s="7" t="s">
        <v>49</v>
      </c>
      <c r="J23" s="6" t="s">
        <v>259</v>
      </c>
      <c r="K23" s="6" t="s">
        <v>260</v>
      </c>
      <c r="L23" s="6" t="s">
        <v>261</v>
      </c>
    </row>
    <row r="24" customFormat="false" ht="129.75" hidden="false" customHeight="true" outlineLevel="0" collapsed="false">
      <c r="A24" s="6" t="s">
        <v>262</v>
      </c>
      <c r="B24" s="6" t="s">
        <v>253</v>
      </c>
      <c r="C24" s="6" t="s">
        <v>263</v>
      </c>
      <c r="D24" s="6" t="s">
        <v>264</v>
      </c>
      <c r="E24" s="6" t="s">
        <v>265</v>
      </c>
      <c r="F24" s="6" t="s">
        <v>266</v>
      </c>
      <c r="G24" s="6" t="s">
        <v>267</v>
      </c>
      <c r="H24" s="6" t="s">
        <v>268</v>
      </c>
      <c r="I24" s="8" t="s">
        <v>60</v>
      </c>
      <c r="J24" s="6" t="s">
        <v>269</v>
      </c>
      <c r="K24" s="6" t="s">
        <v>270</v>
      </c>
      <c r="L24" s="6" t="s">
        <v>271</v>
      </c>
    </row>
    <row r="25" customFormat="false" ht="129.75" hidden="false" customHeight="true" outlineLevel="0" collapsed="false">
      <c r="A25" s="6" t="s">
        <v>272</v>
      </c>
      <c r="B25" s="6" t="s">
        <v>253</v>
      </c>
      <c r="C25" s="6" t="s">
        <v>273</v>
      </c>
      <c r="D25" s="6" t="s">
        <v>225</v>
      </c>
      <c r="E25" s="6" t="s">
        <v>274</v>
      </c>
      <c r="F25" s="6" t="s">
        <v>275</v>
      </c>
      <c r="G25" s="6" t="s">
        <v>276</v>
      </c>
      <c r="H25" s="6" t="s">
        <v>277</v>
      </c>
      <c r="I25" s="8" t="s">
        <v>60</v>
      </c>
      <c r="J25" s="6" t="s">
        <v>278</v>
      </c>
      <c r="K25" s="6" t="s">
        <v>279</v>
      </c>
      <c r="L25" s="6" t="s">
        <v>280</v>
      </c>
    </row>
    <row r="26" customFormat="false" ht="129.75" hidden="false" customHeight="true" outlineLevel="0" collapsed="false">
      <c r="A26" s="6" t="s">
        <v>281</v>
      </c>
      <c r="B26" s="6" t="s">
        <v>253</v>
      </c>
      <c r="C26" s="6" t="s">
        <v>282</v>
      </c>
      <c r="D26" s="6" t="s">
        <v>195</v>
      </c>
      <c r="E26" s="6" t="s">
        <v>283</v>
      </c>
      <c r="F26" s="6" t="s">
        <v>284</v>
      </c>
      <c r="G26" s="6" t="s">
        <v>285</v>
      </c>
      <c r="H26" s="6" t="s">
        <v>286</v>
      </c>
      <c r="I26" s="8" t="s">
        <v>60</v>
      </c>
      <c r="J26" s="6" t="s">
        <v>287</v>
      </c>
      <c r="K26" s="6" t="s">
        <v>288</v>
      </c>
      <c r="L26" s="6" t="s">
        <v>289</v>
      </c>
    </row>
    <row r="27" customFormat="false" ht="129.75" hidden="false" customHeight="true" outlineLevel="0" collapsed="false">
      <c r="A27" s="6" t="s">
        <v>290</v>
      </c>
      <c r="B27" s="6" t="s">
        <v>291</v>
      </c>
      <c r="C27" s="6" t="s">
        <v>292</v>
      </c>
      <c r="D27" s="6" t="s">
        <v>293</v>
      </c>
      <c r="E27" s="6" t="s">
        <v>294</v>
      </c>
      <c r="F27" s="6" t="s">
        <v>295</v>
      </c>
      <c r="G27" s="6" t="s">
        <v>296</v>
      </c>
      <c r="H27" s="6" t="s">
        <v>297</v>
      </c>
      <c r="I27" s="10" t="s">
        <v>101</v>
      </c>
      <c r="J27" s="6" t="s">
        <v>298</v>
      </c>
      <c r="K27" s="6" t="s">
        <v>299</v>
      </c>
      <c r="L27" s="6" t="s">
        <v>300</v>
      </c>
    </row>
    <row r="28" customFormat="false" ht="129.75" hidden="false" customHeight="true" outlineLevel="0" collapsed="false">
      <c r="A28" s="6" t="s">
        <v>301</v>
      </c>
      <c r="B28" s="6" t="s">
        <v>291</v>
      </c>
      <c r="C28" s="6" t="s">
        <v>302</v>
      </c>
      <c r="D28" s="6" t="s">
        <v>264</v>
      </c>
      <c r="E28" s="6" t="s">
        <v>303</v>
      </c>
      <c r="F28" s="6" t="s">
        <v>304</v>
      </c>
      <c r="G28" s="6" t="s">
        <v>305</v>
      </c>
      <c r="H28" s="6" t="s">
        <v>306</v>
      </c>
      <c r="I28" s="7" t="s">
        <v>49</v>
      </c>
      <c r="J28" s="6" t="s">
        <v>307</v>
      </c>
      <c r="K28" s="6" t="s">
        <v>308</v>
      </c>
      <c r="L28" s="6" t="s">
        <v>309</v>
      </c>
    </row>
    <row r="29" customFormat="false" ht="129.75" hidden="false" customHeight="true" outlineLevel="0" collapsed="false">
      <c r="A29" s="6" t="s">
        <v>310</v>
      </c>
      <c r="B29" s="6" t="s">
        <v>291</v>
      </c>
      <c r="C29" s="6" t="s">
        <v>311</v>
      </c>
      <c r="D29" s="6" t="s">
        <v>293</v>
      </c>
      <c r="E29" s="6" t="s">
        <v>312</v>
      </c>
      <c r="F29" s="6" t="s">
        <v>313</v>
      </c>
      <c r="G29" s="6" t="s">
        <v>314</v>
      </c>
      <c r="H29" s="6" t="s">
        <v>315</v>
      </c>
      <c r="I29" s="10" t="s">
        <v>101</v>
      </c>
      <c r="J29" s="6" t="s">
        <v>316</v>
      </c>
      <c r="K29" s="6" t="s">
        <v>317</v>
      </c>
      <c r="L29" s="6" t="s">
        <v>318</v>
      </c>
    </row>
    <row r="30" customFormat="false" ht="129.75" hidden="false" customHeight="true" outlineLevel="0" collapsed="false">
      <c r="A30" s="6" t="s">
        <v>319</v>
      </c>
      <c r="B30" s="6" t="s">
        <v>291</v>
      </c>
      <c r="C30" s="6" t="s">
        <v>320</v>
      </c>
      <c r="D30" s="6" t="s">
        <v>321</v>
      </c>
      <c r="E30" s="6" t="s">
        <v>322</v>
      </c>
      <c r="F30" s="6" t="s">
        <v>323</v>
      </c>
      <c r="G30" s="6" t="s">
        <v>324</v>
      </c>
      <c r="H30" s="6" t="s">
        <v>325</v>
      </c>
      <c r="I30" s="8" t="s">
        <v>60</v>
      </c>
      <c r="J30" s="6" t="s">
        <v>326</v>
      </c>
      <c r="K30" s="6" t="s">
        <v>327</v>
      </c>
      <c r="L30" s="6" t="s">
        <v>328</v>
      </c>
    </row>
    <row r="31" customFormat="false" ht="129.75" hidden="false" customHeight="true" outlineLevel="0" collapsed="false">
      <c r="A31" s="6" t="s">
        <v>329</v>
      </c>
      <c r="B31" s="6" t="s">
        <v>291</v>
      </c>
      <c r="C31" s="6" t="s">
        <v>330</v>
      </c>
      <c r="D31" s="6" t="s">
        <v>331</v>
      </c>
      <c r="E31" s="6" t="s">
        <v>332</v>
      </c>
      <c r="F31" s="6" t="s">
        <v>333</v>
      </c>
      <c r="G31" s="6" t="s">
        <v>334</v>
      </c>
      <c r="H31" s="6" t="s">
        <v>335</v>
      </c>
      <c r="I31" s="8" t="s">
        <v>60</v>
      </c>
      <c r="J31" s="6" t="s">
        <v>336</v>
      </c>
      <c r="K31" s="6" t="s">
        <v>337</v>
      </c>
      <c r="L31" s="6" t="s">
        <v>338</v>
      </c>
    </row>
    <row r="32" customFormat="false" ht="129.75" hidden="false" customHeight="true" outlineLevel="0" collapsed="false">
      <c r="A32" s="6" t="s">
        <v>339</v>
      </c>
      <c r="B32" s="6" t="s">
        <v>291</v>
      </c>
      <c r="C32" s="6" t="s">
        <v>340</v>
      </c>
      <c r="D32" s="6" t="s">
        <v>331</v>
      </c>
      <c r="E32" s="6" t="s">
        <v>341</v>
      </c>
      <c r="F32" s="6" t="s">
        <v>342</v>
      </c>
      <c r="G32" s="6" t="s">
        <v>343</v>
      </c>
      <c r="H32" s="6" t="s">
        <v>344</v>
      </c>
      <c r="I32" s="9" t="s">
        <v>80</v>
      </c>
      <c r="J32" s="6" t="s">
        <v>345</v>
      </c>
      <c r="K32" s="6" t="s">
        <v>346</v>
      </c>
      <c r="L32" s="6" t="s">
        <v>347</v>
      </c>
    </row>
    <row r="33" customFormat="false" ht="129.75" hidden="false" customHeight="true" outlineLevel="0" collapsed="false">
      <c r="A33" s="6" t="s">
        <v>348</v>
      </c>
      <c r="B33" s="6" t="s">
        <v>291</v>
      </c>
      <c r="C33" s="6" t="s">
        <v>244</v>
      </c>
      <c r="D33" s="6" t="s">
        <v>225</v>
      </c>
      <c r="E33" s="6" t="s">
        <v>245</v>
      </c>
      <c r="F33" s="6" t="s">
        <v>349</v>
      </c>
      <c r="G33" s="6" t="s">
        <v>350</v>
      </c>
      <c r="H33" s="6" t="s">
        <v>351</v>
      </c>
      <c r="I33" s="7" t="s">
        <v>49</v>
      </c>
      <c r="J33" s="6" t="s">
        <v>352</v>
      </c>
      <c r="K33" s="6" t="s">
        <v>353</v>
      </c>
      <c r="L33" s="6" t="s">
        <v>354</v>
      </c>
    </row>
    <row r="34" customFormat="false" ht="129.75" hidden="false" customHeight="true" outlineLevel="0" collapsed="false">
      <c r="A34" s="6" t="s">
        <v>355</v>
      </c>
      <c r="B34" s="6" t="s">
        <v>356</v>
      </c>
      <c r="C34" s="6" t="s">
        <v>357</v>
      </c>
      <c r="D34" s="6" t="s">
        <v>358</v>
      </c>
      <c r="E34" s="6" t="s">
        <v>359</v>
      </c>
      <c r="F34" s="6" t="s">
        <v>360</v>
      </c>
      <c r="G34" s="6" t="s">
        <v>361</v>
      </c>
      <c r="H34" s="6" t="s">
        <v>362</v>
      </c>
      <c r="I34" s="10" t="s">
        <v>101</v>
      </c>
      <c r="J34" s="6" t="s">
        <v>363</v>
      </c>
      <c r="K34" s="6" t="s">
        <v>364</v>
      </c>
      <c r="L34" s="6" t="s">
        <v>365</v>
      </c>
    </row>
    <row r="35" customFormat="false" ht="129.75" hidden="false" customHeight="true" outlineLevel="0" collapsed="false">
      <c r="A35" s="6" t="s">
        <v>366</v>
      </c>
      <c r="B35" s="6" t="s">
        <v>356</v>
      </c>
      <c r="C35" s="6" t="s">
        <v>367</v>
      </c>
      <c r="D35" s="6" t="s">
        <v>368</v>
      </c>
      <c r="E35" s="6" t="s">
        <v>369</v>
      </c>
      <c r="F35" s="6" t="s">
        <v>370</v>
      </c>
      <c r="G35" s="6" t="s">
        <v>371</v>
      </c>
      <c r="H35" s="6" t="s">
        <v>372</v>
      </c>
      <c r="I35" s="7" t="s">
        <v>49</v>
      </c>
      <c r="J35" s="6" t="s">
        <v>373</v>
      </c>
      <c r="K35" s="6" t="s">
        <v>374</v>
      </c>
      <c r="L35" s="6" t="s">
        <v>375</v>
      </c>
    </row>
    <row r="36" customFormat="false" ht="129.75" hidden="false" customHeight="true" outlineLevel="0" collapsed="false">
      <c r="A36" s="6" t="s">
        <v>376</v>
      </c>
      <c r="B36" s="6" t="s">
        <v>356</v>
      </c>
      <c r="C36" s="6" t="s">
        <v>377</v>
      </c>
      <c r="D36" s="6" t="s">
        <v>378</v>
      </c>
      <c r="E36" s="6" t="s">
        <v>379</v>
      </c>
      <c r="F36" s="6" t="s">
        <v>380</v>
      </c>
      <c r="G36" s="6" t="s">
        <v>381</v>
      </c>
      <c r="H36" s="6" t="s">
        <v>382</v>
      </c>
      <c r="I36" s="10" t="s">
        <v>101</v>
      </c>
      <c r="J36" s="6" t="s">
        <v>383</v>
      </c>
      <c r="K36" s="6" t="s">
        <v>384</v>
      </c>
      <c r="L36" s="6" t="s">
        <v>385</v>
      </c>
    </row>
    <row r="37" customFormat="false" ht="129.75" hidden="false" customHeight="true" outlineLevel="0" collapsed="false">
      <c r="A37" s="6" t="s">
        <v>386</v>
      </c>
      <c r="B37" s="6" t="s">
        <v>387</v>
      </c>
      <c r="C37" s="6" t="s">
        <v>388</v>
      </c>
      <c r="D37" s="6" t="s">
        <v>195</v>
      </c>
      <c r="E37" s="6" t="s">
        <v>389</v>
      </c>
      <c r="F37" s="6" t="s">
        <v>390</v>
      </c>
      <c r="G37" s="6" t="s">
        <v>391</v>
      </c>
      <c r="H37" s="6" t="s">
        <v>392</v>
      </c>
      <c r="I37" s="10" t="s">
        <v>101</v>
      </c>
      <c r="J37" s="6" t="s">
        <v>393</v>
      </c>
      <c r="K37" s="6" t="s">
        <v>394</v>
      </c>
      <c r="L37" s="6" t="s">
        <v>395</v>
      </c>
    </row>
    <row r="38" customFormat="false" ht="129.75" hidden="false" customHeight="true" outlineLevel="0" collapsed="false">
      <c r="A38" s="6" t="s">
        <v>396</v>
      </c>
      <c r="B38" s="6" t="s">
        <v>387</v>
      </c>
      <c r="C38" s="6" t="s">
        <v>397</v>
      </c>
      <c r="D38" s="6" t="s">
        <v>398</v>
      </c>
      <c r="E38" s="6" t="s">
        <v>399</v>
      </c>
      <c r="F38" s="6" t="s">
        <v>400</v>
      </c>
      <c r="G38" s="6" t="s">
        <v>401</v>
      </c>
      <c r="H38" s="6" t="s">
        <v>402</v>
      </c>
      <c r="I38" s="10" t="s">
        <v>101</v>
      </c>
      <c r="J38" s="6" t="s">
        <v>403</v>
      </c>
      <c r="K38" s="6" t="s">
        <v>404</v>
      </c>
      <c r="L38" s="6" t="s">
        <v>405</v>
      </c>
    </row>
    <row r="39" customFormat="false" ht="129.75" hidden="false" customHeight="true" outlineLevel="0" collapsed="false">
      <c r="A39" s="6" t="s">
        <v>406</v>
      </c>
      <c r="B39" s="6" t="s">
        <v>387</v>
      </c>
      <c r="C39" s="6" t="s">
        <v>407</v>
      </c>
      <c r="D39" s="6" t="s">
        <v>378</v>
      </c>
      <c r="E39" s="6" t="s">
        <v>408</v>
      </c>
      <c r="F39" s="6" t="s">
        <v>409</v>
      </c>
      <c r="G39" s="6" t="s">
        <v>410</v>
      </c>
      <c r="H39" s="6" t="s">
        <v>411</v>
      </c>
      <c r="I39" s="7" t="s">
        <v>49</v>
      </c>
      <c r="J39" s="6" t="s">
        <v>412</v>
      </c>
      <c r="K39" s="6" t="s">
        <v>413</v>
      </c>
      <c r="L39" s="6" t="s">
        <v>414</v>
      </c>
    </row>
    <row r="40" customFormat="false" ht="129.75" hidden="false" customHeight="true" outlineLevel="0" collapsed="false">
      <c r="A40" s="6" t="s">
        <v>415</v>
      </c>
      <c r="B40" s="6" t="s">
        <v>387</v>
      </c>
      <c r="C40" s="6" t="s">
        <v>416</v>
      </c>
      <c r="D40" s="6" t="s">
        <v>417</v>
      </c>
      <c r="E40" s="6" t="s">
        <v>418</v>
      </c>
      <c r="F40" s="6" t="s">
        <v>419</v>
      </c>
      <c r="G40" s="6" t="s">
        <v>420</v>
      </c>
      <c r="H40" s="6" t="s">
        <v>421</v>
      </c>
      <c r="I40" s="8" t="s">
        <v>60</v>
      </c>
      <c r="J40" s="6" t="s">
        <v>422</v>
      </c>
      <c r="K40" s="6" t="s">
        <v>423</v>
      </c>
      <c r="L40" s="6" t="s">
        <v>424</v>
      </c>
    </row>
    <row r="41" customFormat="false" ht="129.75" hidden="false" customHeight="true" outlineLevel="0" collapsed="false">
      <c r="A41" s="6" t="s">
        <v>425</v>
      </c>
      <c r="B41" s="6" t="s">
        <v>426</v>
      </c>
      <c r="C41" s="6" t="s">
        <v>427</v>
      </c>
      <c r="D41" s="6" t="s">
        <v>195</v>
      </c>
      <c r="E41" s="6" t="s">
        <v>428</v>
      </c>
      <c r="F41" s="6" t="s">
        <v>429</v>
      </c>
      <c r="G41" s="6" t="s">
        <v>430</v>
      </c>
      <c r="H41" s="6" t="s">
        <v>431</v>
      </c>
      <c r="I41" s="8" t="s">
        <v>60</v>
      </c>
      <c r="J41" s="6" t="s">
        <v>432</v>
      </c>
      <c r="K41" s="6" t="s">
        <v>433</v>
      </c>
      <c r="L41" s="6" t="s">
        <v>434</v>
      </c>
    </row>
    <row r="42" customFormat="false" ht="129.75" hidden="false" customHeight="true" outlineLevel="0" collapsed="false">
      <c r="A42" s="6" t="s">
        <v>435</v>
      </c>
      <c r="B42" s="6" t="s">
        <v>426</v>
      </c>
      <c r="C42" s="6" t="s">
        <v>436</v>
      </c>
      <c r="D42" s="6" t="s">
        <v>331</v>
      </c>
      <c r="E42" s="6" t="s">
        <v>437</v>
      </c>
      <c r="F42" s="6" t="s">
        <v>438</v>
      </c>
      <c r="G42" s="6" t="s">
        <v>439</v>
      </c>
      <c r="H42" s="6" t="s">
        <v>440</v>
      </c>
      <c r="I42" s="8" t="s">
        <v>60</v>
      </c>
      <c r="J42" s="6" t="s">
        <v>441</v>
      </c>
      <c r="K42" s="6" t="s">
        <v>442</v>
      </c>
      <c r="L42" s="6" t="s">
        <v>443</v>
      </c>
    </row>
    <row r="43" customFormat="false" ht="129.75" hidden="false" customHeight="true" outlineLevel="0" collapsed="false">
      <c r="A43" s="6" t="s">
        <v>444</v>
      </c>
      <c r="B43" s="6" t="s">
        <v>426</v>
      </c>
      <c r="C43" s="6" t="s">
        <v>445</v>
      </c>
      <c r="D43" s="6" t="s">
        <v>195</v>
      </c>
      <c r="E43" s="6" t="s">
        <v>446</v>
      </c>
      <c r="F43" s="6" t="s">
        <v>447</v>
      </c>
      <c r="G43" s="6" t="s">
        <v>448</v>
      </c>
      <c r="H43" s="6" t="s">
        <v>449</v>
      </c>
      <c r="I43" s="8" t="s">
        <v>60</v>
      </c>
      <c r="J43" s="6" t="s">
        <v>450</v>
      </c>
      <c r="K43" s="6" t="s">
        <v>451</v>
      </c>
      <c r="L43" s="6" t="s">
        <v>452</v>
      </c>
    </row>
    <row r="44" customFormat="false" ht="129.75" hidden="false" customHeight="true" outlineLevel="0" collapsed="false">
      <c r="A44" s="6" t="s">
        <v>453</v>
      </c>
      <c r="B44" s="6" t="s">
        <v>454</v>
      </c>
      <c r="C44" s="6" t="s">
        <v>455</v>
      </c>
      <c r="D44" s="6" t="s">
        <v>456</v>
      </c>
      <c r="E44" s="6" t="s">
        <v>457</v>
      </c>
      <c r="F44" s="6" t="s">
        <v>458</v>
      </c>
      <c r="G44" s="6" t="s">
        <v>459</v>
      </c>
      <c r="H44" s="6" t="s">
        <v>460</v>
      </c>
      <c r="I44" s="7" t="s">
        <v>49</v>
      </c>
      <c r="J44" s="6" t="s">
        <v>461</v>
      </c>
      <c r="K44" s="6" t="s">
        <v>462</v>
      </c>
      <c r="L44" s="6" t="s">
        <v>463</v>
      </c>
    </row>
    <row r="45" customFormat="false" ht="129.75" hidden="false" customHeight="true" outlineLevel="0" collapsed="false">
      <c r="A45" s="6" t="s">
        <v>464</v>
      </c>
      <c r="B45" s="6" t="s">
        <v>454</v>
      </c>
      <c r="C45" s="6" t="s">
        <v>465</v>
      </c>
      <c r="D45" s="6" t="s">
        <v>195</v>
      </c>
      <c r="E45" s="6" t="s">
        <v>466</v>
      </c>
      <c r="F45" s="6" t="s">
        <v>467</v>
      </c>
      <c r="G45" s="6" t="s">
        <v>468</v>
      </c>
      <c r="H45" s="6" t="s">
        <v>469</v>
      </c>
      <c r="I45" s="7" t="s">
        <v>49</v>
      </c>
      <c r="J45" s="6" t="s">
        <v>470</v>
      </c>
      <c r="K45" s="6" t="s">
        <v>471</v>
      </c>
      <c r="L45" s="6" t="s">
        <v>472</v>
      </c>
    </row>
    <row r="46" customFormat="false" ht="129.75" hidden="false" customHeight="true" outlineLevel="0" collapsed="false">
      <c r="A46" s="6" t="s">
        <v>473</v>
      </c>
      <c r="B46" s="6" t="s">
        <v>454</v>
      </c>
      <c r="C46" s="6" t="s">
        <v>474</v>
      </c>
      <c r="D46" s="6" t="s">
        <v>475</v>
      </c>
      <c r="E46" s="6" t="s">
        <v>476</v>
      </c>
      <c r="F46" s="6" t="s">
        <v>477</v>
      </c>
      <c r="G46" s="6" t="s">
        <v>478</v>
      </c>
      <c r="H46" s="6" t="s">
        <v>479</v>
      </c>
      <c r="I46" s="8" t="s">
        <v>60</v>
      </c>
      <c r="J46" s="6" t="s">
        <v>480</v>
      </c>
      <c r="K46" s="6" t="s">
        <v>481</v>
      </c>
      <c r="L46" s="6" t="s">
        <v>482</v>
      </c>
    </row>
    <row r="47" customFormat="false" ht="129.75" hidden="false" customHeight="true" outlineLevel="0" collapsed="false">
      <c r="A47" s="6" t="s">
        <v>483</v>
      </c>
      <c r="B47" s="6" t="s">
        <v>454</v>
      </c>
      <c r="C47" s="6" t="s">
        <v>484</v>
      </c>
      <c r="D47" s="6" t="s">
        <v>456</v>
      </c>
      <c r="E47" s="6" t="s">
        <v>485</v>
      </c>
      <c r="F47" s="6" t="s">
        <v>486</v>
      </c>
      <c r="G47" s="6" t="s">
        <v>487</v>
      </c>
      <c r="H47" s="6" t="s">
        <v>488</v>
      </c>
      <c r="I47" s="8" t="s">
        <v>60</v>
      </c>
      <c r="J47" s="6" t="s">
        <v>489</v>
      </c>
      <c r="K47" s="6" t="s">
        <v>490</v>
      </c>
      <c r="L47" s="6" t="s">
        <v>491</v>
      </c>
    </row>
    <row r="48" customFormat="false" ht="129.75" hidden="false" customHeight="true" outlineLevel="0" collapsed="false">
      <c r="A48" s="6" t="s">
        <v>492</v>
      </c>
      <c r="B48" s="6" t="s">
        <v>454</v>
      </c>
      <c r="C48" s="6" t="s">
        <v>493</v>
      </c>
      <c r="D48" s="6" t="s">
        <v>195</v>
      </c>
      <c r="E48" s="6" t="s">
        <v>494</v>
      </c>
      <c r="F48" s="6" t="s">
        <v>495</v>
      </c>
      <c r="G48" s="6" t="s">
        <v>496</v>
      </c>
      <c r="H48" s="6" t="s">
        <v>497</v>
      </c>
      <c r="I48" s="9" t="s">
        <v>80</v>
      </c>
      <c r="J48" s="6" t="s">
        <v>498</v>
      </c>
      <c r="K48" s="6" t="s">
        <v>499</v>
      </c>
      <c r="L48" s="6" t="s">
        <v>500</v>
      </c>
    </row>
    <row r="49" customFormat="false" ht="129.75" hidden="false" customHeight="true" outlineLevel="0" collapsed="false">
      <c r="A49" s="6" t="s">
        <v>501</v>
      </c>
      <c r="B49" s="6" t="s">
        <v>502</v>
      </c>
      <c r="C49" s="6" t="s">
        <v>503</v>
      </c>
      <c r="D49" s="6" t="s">
        <v>504</v>
      </c>
      <c r="E49" s="6" t="s">
        <v>505</v>
      </c>
      <c r="F49" s="6" t="s">
        <v>506</v>
      </c>
      <c r="G49" s="6" t="s">
        <v>507</v>
      </c>
      <c r="H49" s="6" t="s">
        <v>508</v>
      </c>
      <c r="I49" s="7" t="s">
        <v>49</v>
      </c>
      <c r="J49" s="6" t="s">
        <v>509</v>
      </c>
      <c r="K49" s="6" t="s">
        <v>510</v>
      </c>
      <c r="L49" s="6" t="s">
        <v>511</v>
      </c>
    </row>
    <row r="50" customFormat="false" ht="129.75" hidden="false" customHeight="true" outlineLevel="0" collapsed="false">
      <c r="A50" s="6" t="s">
        <v>512</v>
      </c>
      <c r="B50" s="6" t="s">
        <v>502</v>
      </c>
      <c r="C50" s="6" t="s">
        <v>513</v>
      </c>
      <c r="D50" s="6" t="s">
        <v>514</v>
      </c>
      <c r="E50" s="6" t="s">
        <v>515</v>
      </c>
      <c r="F50" s="6" t="s">
        <v>516</v>
      </c>
      <c r="G50" s="6" t="s">
        <v>517</v>
      </c>
      <c r="H50" s="6" t="s">
        <v>518</v>
      </c>
      <c r="I50" s="8" t="s">
        <v>60</v>
      </c>
      <c r="J50" s="6" t="s">
        <v>519</v>
      </c>
      <c r="K50" s="6" t="s">
        <v>520</v>
      </c>
      <c r="L50" s="6" t="s">
        <v>521</v>
      </c>
    </row>
    <row r="51" customFormat="false" ht="129.75" hidden="false" customHeight="true" outlineLevel="0" collapsed="false">
      <c r="A51" s="6" t="s">
        <v>522</v>
      </c>
      <c r="B51" s="6" t="s">
        <v>502</v>
      </c>
      <c r="C51" s="6" t="s">
        <v>523</v>
      </c>
      <c r="D51" s="6" t="s">
        <v>293</v>
      </c>
      <c r="E51" s="6" t="s">
        <v>524</v>
      </c>
      <c r="F51" s="6" t="s">
        <v>525</v>
      </c>
      <c r="G51" s="6" t="s">
        <v>526</v>
      </c>
      <c r="H51" s="6" t="s">
        <v>527</v>
      </c>
      <c r="I51" s="10" t="s">
        <v>101</v>
      </c>
      <c r="J51" s="6" t="s">
        <v>528</v>
      </c>
      <c r="K51" s="6" t="s">
        <v>529</v>
      </c>
      <c r="L51" s="6" t="s">
        <v>530</v>
      </c>
    </row>
    <row r="52" customFormat="false" ht="129.75" hidden="false" customHeight="true" outlineLevel="0" collapsed="false">
      <c r="A52" s="6" t="s">
        <v>531</v>
      </c>
      <c r="B52" s="6" t="s">
        <v>502</v>
      </c>
      <c r="C52" s="6" t="s">
        <v>532</v>
      </c>
      <c r="D52" s="6" t="s">
        <v>533</v>
      </c>
      <c r="E52" s="6" t="s">
        <v>534</v>
      </c>
      <c r="F52" s="6" t="s">
        <v>535</v>
      </c>
      <c r="G52" s="6" t="s">
        <v>536</v>
      </c>
      <c r="H52" s="6" t="s">
        <v>537</v>
      </c>
      <c r="I52" s="10" t="s">
        <v>101</v>
      </c>
      <c r="J52" s="6" t="s">
        <v>538</v>
      </c>
      <c r="K52" s="6" t="s">
        <v>539</v>
      </c>
      <c r="L52" s="6" t="s">
        <v>540</v>
      </c>
    </row>
    <row r="53" customFormat="false" ht="129.75" hidden="false" customHeight="true" outlineLevel="0" collapsed="false">
      <c r="A53" s="6" t="s">
        <v>541</v>
      </c>
      <c r="B53" s="6" t="s">
        <v>502</v>
      </c>
      <c r="C53" s="6" t="s">
        <v>542</v>
      </c>
      <c r="D53" s="6" t="s">
        <v>543</v>
      </c>
      <c r="E53" s="6" t="s">
        <v>544</v>
      </c>
      <c r="F53" s="6" t="s">
        <v>545</v>
      </c>
      <c r="G53" s="6" t="s">
        <v>546</v>
      </c>
      <c r="H53" s="6" t="s">
        <v>547</v>
      </c>
      <c r="I53" s="8" t="s">
        <v>60</v>
      </c>
      <c r="J53" s="6" t="s">
        <v>548</v>
      </c>
      <c r="K53" s="6" t="s">
        <v>549</v>
      </c>
      <c r="L53" s="6" t="s">
        <v>550</v>
      </c>
    </row>
    <row r="54" customFormat="false" ht="129.75" hidden="false" customHeight="true" outlineLevel="0" collapsed="false">
      <c r="A54" s="6" t="s">
        <v>551</v>
      </c>
      <c r="B54" s="6" t="s">
        <v>502</v>
      </c>
      <c r="C54" s="6" t="s">
        <v>552</v>
      </c>
      <c r="D54" s="6" t="s">
        <v>195</v>
      </c>
      <c r="E54" s="6" t="s">
        <v>553</v>
      </c>
      <c r="F54" s="6" t="s">
        <v>554</v>
      </c>
      <c r="G54" s="6" t="s">
        <v>555</v>
      </c>
      <c r="H54" s="6" t="s">
        <v>556</v>
      </c>
      <c r="I54" s="8" t="s">
        <v>60</v>
      </c>
      <c r="J54" s="6" t="s">
        <v>557</v>
      </c>
      <c r="K54" s="6" t="s">
        <v>558</v>
      </c>
      <c r="L54" s="6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30" hidden="false" customHeight="true" outlineLevel="0" collapsed="false">
      <c r="A1" s="5" t="s">
        <v>560</v>
      </c>
      <c r="B1" s="5" t="s">
        <v>29</v>
      </c>
      <c r="C1" s="5" t="s">
        <v>561</v>
      </c>
      <c r="D1" s="5" t="s">
        <v>562</v>
      </c>
    </row>
    <row r="2" customFormat="false" ht="49.5" hidden="false" customHeight="true" outlineLevel="0" collapsed="false">
      <c r="A2" s="6" t="n">
        <v>1</v>
      </c>
      <c r="B2" s="6" t="s">
        <v>501</v>
      </c>
      <c r="C2" s="6" t="s">
        <v>563</v>
      </c>
      <c r="D2" s="6" t="s">
        <v>564</v>
      </c>
    </row>
    <row r="3" customFormat="false" ht="49.5" hidden="false" customHeight="true" outlineLevel="0" collapsed="false">
      <c r="A3" s="6" t="n">
        <v>2</v>
      </c>
      <c r="B3" s="6" t="s">
        <v>522</v>
      </c>
      <c r="C3" s="6" t="s">
        <v>565</v>
      </c>
      <c r="D3" s="6" t="s">
        <v>566</v>
      </c>
    </row>
    <row r="4" customFormat="false" ht="49.5" hidden="false" customHeight="true" outlineLevel="0" collapsed="false">
      <c r="A4" s="6" t="n">
        <v>3</v>
      </c>
      <c r="B4" s="6" t="s">
        <v>290</v>
      </c>
      <c r="C4" s="6" t="s">
        <v>567</v>
      </c>
      <c r="D4" s="6" t="s">
        <v>568</v>
      </c>
    </row>
    <row r="5" customFormat="false" ht="49.5" hidden="false" customHeight="true" outlineLevel="0" collapsed="false">
      <c r="A5" s="6" t="n">
        <v>4</v>
      </c>
      <c r="B5" s="6" t="s">
        <v>355</v>
      </c>
      <c r="C5" s="6" t="s">
        <v>569</v>
      </c>
      <c r="D5" s="6" t="s">
        <v>570</v>
      </c>
    </row>
    <row r="6" customFormat="false" ht="49.5" hidden="false" customHeight="true" outlineLevel="0" collapsed="false">
      <c r="A6" s="6" t="n">
        <v>5</v>
      </c>
      <c r="B6" s="6" t="s">
        <v>94</v>
      </c>
      <c r="C6" s="6" t="s">
        <v>571</v>
      </c>
      <c r="D6" s="6" t="s">
        <v>572</v>
      </c>
    </row>
    <row r="7" customFormat="false" ht="49.5" hidden="false" customHeight="true" outlineLevel="0" collapsed="false">
      <c r="A7" s="6" t="n">
        <v>6</v>
      </c>
      <c r="B7" s="6" t="s">
        <v>531</v>
      </c>
      <c r="C7" s="6" t="s">
        <v>573</v>
      </c>
      <c r="D7" s="6" t="s">
        <v>574</v>
      </c>
    </row>
    <row r="8" customFormat="false" ht="49.5" hidden="false" customHeight="true" outlineLevel="0" collapsed="false">
      <c r="A8" s="6" t="n">
        <v>7</v>
      </c>
      <c r="B8" s="6" t="s">
        <v>252</v>
      </c>
      <c r="C8" s="6" t="s">
        <v>254</v>
      </c>
      <c r="D8" s="6" t="s">
        <v>575</v>
      </c>
    </row>
    <row r="9" customFormat="false" ht="49.5" hidden="false" customHeight="true" outlineLevel="0" collapsed="false">
      <c r="A9" s="6" t="n">
        <v>8</v>
      </c>
      <c r="B9" s="6" t="s">
        <v>453</v>
      </c>
      <c r="C9" s="6" t="s">
        <v>576</v>
      </c>
      <c r="D9" s="6" t="s">
        <v>577</v>
      </c>
    </row>
    <row r="10" customFormat="false" ht="49.5" hidden="false" customHeight="true" outlineLevel="0" collapsed="false">
      <c r="A10" s="6" t="n">
        <v>9</v>
      </c>
      <c r="B10" s="6" t="s">
        <v>203</v>
      </c>
      <c r="C10" s="6" t="s">
        <v>578</v>
      </c>
      <c r="D10" s="6" t="s">
        <v>579</v>
      </c>
    </row>
    <row r="11" customFormat="false" ht="49.5" hidden="false" customHeight="true" outlineLevel="0" collapsed="false">
      <c r="A11" s="6" t="n">
        <v>10</v>
      </c>
      <c r="B11" s="6" t="s">
        <v>512</v>
      </c>
      <c r="C11" s="6" t="s">
        <v>580</v>
      </c>
      <c r="D11" s="6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30" hidden="false" customHeight="true" outlineLevel="0" collapsed="false">
      <c r="A1" s="5" t="s">
        <v>30</v>
      </c>
      <c r="B1" s="5" t="s">
        <v>582</v>
      </c>
      <c r="C1" s="5" t="s">
        <v>583</v>
      </c>
    </row>
    <row r="2" customFormat="false" ht="37.5" hidden="false" customHeight="true" outlineLevel="0" collapsed="false">
      <c r="A2" s="6" t="s">
        <v>42</v>
      </c>
      <c r="B2" s="6" t="n">
        <v>5</v>
      </c>
      <c r="C2" s="6" t="s">
        <v>584</v>
      </c>
    </row>
    <row r="3" customFormat="false" ht="37.5" hidden="false" customHeight="true" outlineLevel="0" collapsed="false">
      <c r="A3" s="6" t="s">
        <v>95</v>
      </c>
      <c r="B3" s="6" t="n">
        <v>6</v>
      </c>
      <c r="C3" s="6" t="s">
        <v>585</v>
      </c>
    </row>
    <row r="4" customFormat="false" ht="37.5" hidden="false" customHeight="true" outlineLevel="0" collapsed="false">
      <c r="A4" s="6" t="s">
        <v>154</v>
      </c>
      <c r="B4" s="6" t="n">
        <v>7</v>
      </c>
      <c r="C4" s="6" t="s">
        <v>586</v>
      </c>
    </row>
    <row r="5" customFormat="false" ht="37.5" hidden="false" customHeight="true" outlineLevel="0" collapsed="false">
      <c r="A5" s="6" t="s">
        <v>223</v>
      </c>
      <c r="B5" s="6" t="n">
        <v>3</v>
      </c>
      <c r="C5" s="6" t="s">
        <v>587</v>
      </c>
    </row>
    <row r="6" customFormat="false" ht="37.5" hidden="false" customHeight="true" outlineLevel="0" collapsed="false">
      <c r="A6" s="6" t="s">
        <v>253</v>
      </c>
      <c r="B6" s="6" t="n">
        <v>4</v>
      </c>
      <c r="C6" s="6" t="s">
        <v>588</v>
      </c>
    </row>
    <row r="7" customFormat="false" ht="37.5" hidden="false" customHeight="true" outlineLevel="0" collapsed="false">
      <c r="A7" s="6" t="s">
        <v>291</v>
      </c>
      <c r="B7" s="6" t="n">
        <v>7</v>
      </c>
      <c r="C7" s="6" t="s">
        <v>589</v>
      </c>
    </row>
    <row r="8" customFormat="false" ht="37.5" hidden="false" customHeight="true" outlineLevel="0" collapsed="false">
      <c r="A8" s="6" t="s">
        <v>356</v>
      </c>
      <c r="B8" s="6" t="n">
        <v>3</v>
      </c>
      <c r="C8" s="6" t="s">
        <v>590</v>
      </c>
    </row>
    <row r="9" customFormat="false" ht="37.5" hidden="false" customHeight="true" outlineLevel="0" collapsed="false">
      <c r="A9" s="6" t="s">
        <v>387</v>
      </c>
      <c r="B9" s="6" t="n">
        <v>4</v>
      </c>
      <c r="C9" s="6" t="s">
        <v>591</v>
      </c>
    </row>
    <row r="10" customFormat="false" ht="37.5" hidden="false" customHeight="true" outlineLevel="0" collapsed="false">
      <c r="A10" s="6" t="s">
        <v>426</v>
      </c>
      <c r="B10" s="6" t="n">
        <v>3</v>
      </c>
      <c r="C10" s="6" t="s">
        <v>592</v>
      </c>
    </row>
    <row r="11" customFormat="false" ht="37.5" hidden="false" customHeight="true" outlineLevel="0" collapsed="false">
      <c r="A11" s="6" t="s">
        <v>593</v>
      </c>
      <c r="B11" s="6" t="n">
        <v>5</v>
      </c>
      <c r="C11" s="6" t="s">
        <v>594</v>
      </c>
    </row>
    <row r="12" customFormat="false" ht="37.5" hidden="false" customHeight="true" outlineLevel="0" collapsed="false">
      <c r="A12" s="6" t="s">
        <v>595</v>
      </c>
      <c r="B12" s="6" t="n">
        <v>6</v>
      </c>
      <c r="C12" s="6" t="s">
        <v>596</v>
      </c>
    </row>
    <row r="13" customFormat="false" ht="37.5" hidden="false" customHeight="true" outlineLevel="0" collapsed="false">
      <c r="A13" s="11" t="s">
        <v>597</v>
      </c>
      <c r="B13" s="11" t="n">
        <v>53</v>
      </c>
      <c r="C13" s="11" t="s">
        <v>598</v>
      </c>
    </row>
    <row r="15" customFormat="false" ht="15" hidden="false" customHeight="false" outlineLevel="0" collapsed="false">
      <c r="A15" s="4" t="s">
        <v>599</v>
      </c>
      <c r="B15" s="4" t="n">
        <f aca="false">SUM(B2:B12)</f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90"/>
  </cols>
  <sheetData>
    <row r="1" customFormat="false" ht="30" hidden="false" customHeight="true" outlineLevel="0" collapsed="false">
      <c r="A1" s="5" t="s">
        <v>600</v>
      </c>
      <c r="B1" s="5" t="s">
        <v>601</v>
      </c>
    </row>
    <row r="2" customFormat="false" ht="60" hidden="false" customHeight="true" outlineLevel="0" collapsed="false">
      <c r="A2" s="6" t="s">
        <v>602</v>
      </c>
      <c r="B2" s="6" t="s">
        <v>603</v>
      </c>
    </row>
    <row r="3" customFormat="false" ht="60" hidden="false" customHeight="true" outlineLevel="0" collapsed="false">
      <c r="A3" s="6" t="s">
        <v>604</v>
      </c>
      <c r="B3" s="6" t="s">
        <v>605</v>
      </c>
    </row>
    <row r="4" customFormat="false" ht="60" hidden="false" customHeight="true" outlineLevel="0" collapsed="false">
      <c r="A4" s="6" t="s">
        <v>606</v>
      </c>
      <c r="B4" s="6" t="s">
        <v>607</v>
      </c>
    </row>
    <row r="5" customFormat="false" ht="60" hidden="false" customHeight="true" outlineLevel="0" collapsed="false">
      <c r="A5" s="6" t="s">
        <v>608</v>
      </c>
      <c r="B5" s="6" t="s">
        <v>609</v>
      </c>
    </row>
    <row r="6" customFormat="false" ht="60" hidden="false" customHeight="true" outlineLevel="0" collapsed="false">
      <c r="A6" s="6" t="s">
        <v>610</v>
      </c>
      <c r="B6" s="6" t="s">
        <v>611</v>
      </c>
    </row>
    <row r="7" customFormat="false" ht="60" hidden="false" customHeight="true" outlineLevel="0" collapsed="false">
      <c r="A7" s="6" t="s">
        <v>612</v>
      </c>
      <c r="B7" s="6" t="s">
        <v>613</v>
      </c>
    </row>
    <row r="8" customFormat="false" ht="60" hidden="false" customHeight="true" outlineLevel="0" collapsed="false">
      <c r="A8" s="6" t="s">
        <v>614</v>
      </c>
      <c r="B8" s="6" t="s">
        <v>615</v>
      </c>
    </row>
    <row r="9" customFormat="false" ht="60" hidden="false" customHeight="true" outlineLevel="0" collapsed="false">
      <c r="A9" s="6" t="s">
        <v>616</v>
      </c>
      <c r="B9" s="6" t="s">
        <v>617</v>
      </c>
    </row>
    <row r="10" customFormat="false" ht="60" hidden="false" customHeight="true" outlineLevel="0" collapsed="false">
      <c r="A10" s="6" t="s">
        <v>618</v>
      </c>
      <c r="B10" s="6" t="s">
        <v>619</v>
      </c>
    </row>
    <row r="11" customFormat="false" ht="60" hidden="false" customHeight="true" outlineLevel="0" collapsed="false">
      <c r="A11" s="6" t="s">
        <v>620</v>
      </c>
      <c r="B11" s="6" t="s">
        <v>621</v>
      </c>
    </row>
    <row r="12" customFormat="false" ht="60" hidden="false" customHeight="true" outlineLevel="0" collapsed="false">
      <c r="A12" s="6" t="s">
        <v>622</v>
      </c>
      <c r="B12" s="6" t="s">
        <v>623</v>
      </c>
    </row>
    <row r="13" customFormat="false" ht="60" hidden="false" customHeight="true" outlineLevel="0" collapsed="false">
      <c r="A13" s="6" t="s">
        <v>624</v>
      </c>
      <c r="B13" s="6" t="s">
        <v>625</v>
      </c>
    </row>
    <row r="14" customFormat="false" ht="60" hidden="false" customHeight="true" outlineLevel="0" collapsed="false">
      <c r="A14" s="6" t="s">
        <v>23</v>
      </c>
      <c r="B14" s="6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80"/>
  </cols>
  <sheetData>
    <row r="1" customFormat="false" ht="30" hidden="false" customHeight="true" outlineLevel="0" collapsed="false">
      <c r="A1" s="5" t="s">
        <v>627</v>
      </c>
      <c r="B1" s="5" t="s">
        <v>628</v>
      </c>
      <c r="C1" s="5" t="s">
        <v>629</v>
      </c>
    </row>
    <row r="2" customFormat="false" ht="31.5" hidden="false" customHeight="true" outlineLevel="0" collapsed="false">
      <c r="A2" s="6" t="s">
        <v>630</v>
      </c>
      <c r="B2" s="6" t="s">
        <v>631</v>
      </c>
      <c r="C2" s="6" t="s">
        <v>632</v>
      </c>
    </row>
    <row r="3" customFormat="false" ht="31.5" hidden="false" customHeight="true" outlineLevel="0" collapsed="false">
      <c r="A3" s="6" t="s">
        <v>633</v>
      </c>
      <c r="B3" s="6" t="s">
        <v>634</v>
      </c>
      <c r="C3" s="6" t="s">
        <v>635</v>
      </c>
    </row>
    <row r="4" customFormat="false" ht="31.5" hidden="false" customHeight="true" outlineLevel="0" collapsed="false">
      <c r="A4" s="6" t="s">
        <v>636</v>
      </c>
      <c r="B4" s="6" t="s">
        <v>637</v>
      </c>
      <c r="C4" s="6" t="s">
        <v>638</v>
      </c>
    </row>
    <row r="5" customFormat="false" ht="31.5" hidden="false" customHeight="true" outlineLevel="0" collapsed="false">
      <c r="A5" s="6" t="s">
        <v>639</v>
      </c>
      <c r="B5" s="6" t="s">
        <v>640</v>
      </c>
      <c r="C5" s="6" t="s">
        <v>641</v>
      </c>
    </row>
    <row r="6" customFormat="false" ht="31.5" hidden="false" customHeight="true" outlineLevel="0" collapsed="false">
      <c r="A6" s="6" t="s">
        <v>642</v>
      </c>
      <c r="B6" s="6" t="s">
        <v>643</v>
      </c>
      <c r="C6" s="6" t="s">
        <v>644</v>
      </c>
    </row>
    <row r="7" customFormat="false" ht="31.5" hidden="false" customHeight="true" outlineLevel="0" collapsed="false">
      <c r="A7" s="6" t="s">
        <v>645</v>
      </c>
      <c r="B7" s="6" t="s">
        <v>646</v>
      </c>
      <c r="C7" s="6" t="s">
        <v>647</v>
      </c>
    </row>
    <row r="8" customFormat="false" ht="31.5" hidden="false" customHeight="true" outlineLevel="0" collapsed="false">
      <c r="A8" s="6" t="s">
        <v>648</v>
      </c>
      <c r="B8" s="6" t="s">
        <v>649</v>
      </c>
      <c r="C8" s="6" t="s">
        <v>650</v>
      </c>
    </row>
    <row r="9" customFormat="false" ht="31.5" hidden="false" customHeight="true" outlineLevel="0" collapsed="false">
      <c r="A9" s="6" t="s">
        <v>651</v>
      </c>
      <c r="B9" s="6" t="s">
        <v>652</v>
      </c>
      <c r="C9" s="6" t="s">
        <v>653</v>
      </c>
    </row>
    <row r="10" customFormat="false" ht="31.5" hidden="false" customHeight="true" outlineLevel="0" collapsed="false">
      <c r="A10" s="6" t="s">
        <v>654</v>
      </c>
      <c r="B10" s="6" t="s">
        <v>655</v>
      </c>
      <c r="C10" s="6" t="s">
        <v>656</v>
      </c>
    </row>
    <row r="11" customFormat="false" ht="31.5" hidden="false" customHeight="true" outlineLevel="0" collapsed="false">
      <c r="A11" s="6" t="s">
        <v>657</v>
      </c>
      <c r="B11" s="6" t="s">
        <v>658</v>
      </c>
      <c r="C11" s="6" t="s">
        <v>659</v>
      </c>
    </row>
    <row r="12" customFormat="false" ht="31.5" hidden="false" customHeight="true" outlineLevel="0" collapsed="false">
      <c r="A12" s="6" t="s">
        <v>660</v>
      </c>
      <c r="B12" s="6" t="s">
        <v>661</v>
      </c>
      <c r="C12" s="6" t="s">
        <v>662</v>
      </c>
    </row>
    <row r="13" customFormat="false" ht="31.5" hidden="false" customHeight="true" outlineLevel="0" collapsed="false">
      <c r="A13" s="6" t="s">
        <v>663</v>
      </c>
      <c r="B13" s="6" t="s">
        <v>664</v>
      </c>
      <c r="C13" s="6" t="s">
        <v>665</v>
      </c>
    </row>
    <row r="14" customFormat="false" ht="31.5" hidden="false" customHeight="true" outlineLevel="0" collapsed="false">
      <c r="A14" s="6" t="s">
        <v>666</v>
      </c>
      <c r="B14" s="6" t="s">
        <v>667</v>
      </c>
      <c r="C14" s="6" t="s">
        <v>668</v>
      </c>
    </row>
    <row r="15" customFormat="false" ht="31.5" hidden="false" customHeight="true" outlineLevel="0" collapsed="false">
      <c r="A15" s="6" t="s">
        <v>669</v>
      </c>
      <c r="B15" s="6" t="s">
        <v>670</v>
      </c>
      <c r="C15" s="6" t="s">
        <v>671</v>
      </c>
    </row>
    <row r="16" customFormat="false" ht="31.5" hidden="false" customHeight="true" outlineLevel="0" collapsed="false">
      <c r="A16" s="6" t="s">
        <v>672</v>
      </c>
      <c r="B16" s="6" t="s">
        <v>673</v>
      </c>
      <c r="C16" s="6" t="s">
        <v>674</v>
      </c>
    </row>
    <row r="17" customFormat="false" ht="31.5" hidden="false" customHeight="true" outlineLevel="0" collapsed="false">
      <c r="A17" s="6" t="s">
        <v>675</v>
      </c>
      <c r="B17" s="6" t="s">
        <v>676</v>
      </c>
      <c r="C17" s="6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2026-05-05T14:20:01Z</dcterms:created>
  <dc:creator>openpyxl</dc:creator>
  <dc:description/>
  <dc:language>en-US</dc:language>
  <cp:lastModifiedBy/>
  <dcterms:modified xsi:type="dcterms:W3CDTF">2026-05-05T14:20:01Z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